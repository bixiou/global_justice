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cuments\www\global_justice\data\"/>
    </mc:Choice>
  </mc:AlternateContent>
  <bookViews>
    <workbookView xWindow="25605" yWindow="495" windowWidth="38400" windowHeight="21105"/>
  </bookViews>
  <sheets>
    <sheet name="data" sheetId="1" r:id="rId1"/>
    <sheet name="variables" sheetId="2" r:id="rId2"/>
    <sheet name="note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6" i="1" l="1"/>
  <c r="BR16" i="1"/>
  <c r="BU15" i="1"/>
  <c r="BR15" i="1"/>
  <c r="BU14" i="1"/>
  <c r="BR14" i="1"/>
  <c r="BU13" i="1"/>
  <c r="BR13" i="1"/>
  <c r="BU12" i="1"/>
  <c r="BR12" i="1"/>
  <c r="BU11" i="1"/>
  <c r="BR11" i="1"/>
  <c r="BU10" i="1"/>
  <c r="BR10" i="1"/>
  <c r="BU9" i="1"/>
  <c r="BR9" i="1"/>
  <c r="BU8" i="1"/>
  <c r="BR8" i="1"/>
  <c r="BU7" i="1"/>
  <c r="BR7" i="1"/>
  <c r="BU6" i="1"/>
  <c r="BR6" i="1"/>
  <c r="BU5" i="1"/>
  <c r="BR5" i="1"/>
  <c r="BU4" i="1"/>
  <c r="BR4" i="1"/>
  <c r="BU3" i="1"/>
  <c r="BR3" i="1"/>
  <c r="BU2" i="1"/>
  <c r="B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2" i="1"/>
</calcChain>
</file>

<file path=xl/sharedStrings.xml><?xml version="1.0" encoding="utf-8"?>
<sst xmlns="http://schemas.openxmlformats.org/spreadsheetml/2006/main" count="619" uniqueCount="411">
  <si>
    <t>note</t>
  </si>
  <si>
    <t>One row per country, Italy first, as requested.</t>
  </si>
  <si>
    <t>Peru (PE) has no column of its own in the Chancel or Bothe data: it is folded into the Rest of Latin America (OD) aggregate. Its Chancel/Bothe cells are therefore empty, while its ILO and PWT research columns are filled.</t>
  </si>
  <si>
    <t>Rest of Latin America (OD) is a residual regional aggregate, so it has no ILO or PWT counterpart: its research columns are empty.</t>
  </si>
  <si>
    <t>Chancel columns come from data/Chancel/Chanceletal2026Appendix_MacroScenarios.xlsx; Bothe columns from data/Bothe/distribution_simul_extract.dta and data/Bothe/Botheetal2026AppendixMacro.xlsx.</t>
  </si>
  <si>
    <t>Scenario codes: SC = sustainable convergence, PC = productivist convergence, PI = persistent inequality.</t>
  </si>
  <si>
    <t>The Chancel and Bothe columns are exactly the country-varying series read by code_simulator/questionnaire.R, the script that writes code_simulator/IT_survey/data/ (see the used_for column of the variables sheet). questionnaire.R also reads Fisher-Gethin 2023 and WID data, which are neither Chancel nor Bothe and are therefore not included here; the Fisher-Gethin inputs are Italy-only in any case.</t>
  </si>
  <si>
    <t>ILO values for 2025 are modelled estimates/projections; ilo_prod_growth_pa_2014_2024 uses observed years only and is the safer robustness check.</t>
  </si>
  <si>
    <t>Measured productivity growth is strongly negative for Saudi Arabia and Nigeria in both ILO and PWT (oil GDP per hour worked); interpret with care.</t>
  </si>
  <si>
    <t>Two distinct notions of the workweek are reported side by side. standard_workweek_hours is the NORM: what a full-time job is defined to be, from national labour law. ilo_weekly_hours_2025 and the PWT columns are EFFECTIVE hours actually worked per employed person, averaged over full-time and part-time workers and net of leave, holidays, sickness and short time; they therefore sit well below the norm, by 5 to 10 hours in most rich countries.</t>
  </si>
  <si>
    <t>The norm is not defined identically everywhere: some countries legislate a standard workweek (France 35, Italy 40), others only a maximum (United Kingdom, Germany), and in others the statutory figure sits above prevailing contracts (Kenya). The standard_workweek_note column states the legal basis and the caveat in each case.</t>
  </si>
  <si>
    <t>The Chancel scenario counterpart of the norm is E0a (annual hours per employed person), not E0h (per capita): E0a_2035_weekly_h_46w converts it to a weekly figure over 46 working weeks.</t>
  </si>
  <si>
    <t>iso2</t>
  </si>
  <si>
    <t>iso3</t>
  </si>
  <si>
    <t>country_name</t>
  </si>
  <si>
    <t>in_chancel</t>
  </si>
  <si>
    <t>standard_workweek_hours</t>
  </si>
  <si>
    <t>ilo_weekly_hours_2025</t>
  </si>
  <si>
    <t>E0a_2025_weekly_h_46w</t>
  </si>
  <si>
    <t>E0a_2035_weekly_h_46w</t>
  </si>
  <si>
    <t>chancel_prod_growth_pa_2015_2025</t>
  </si>
  <si>
    <t>prod_growth_pa_2025_2035</t>
  </si>
  <si>
    <t>ref_hours</t>
  </si>
  <si>
    <t>growth1</t>
  </si>
  <si>
    <t>growth2</t>
  </si>
  <si>
    <t>change_hours_pw_pa_2025_2035</t>
  </si>
  <si>
    <t>currency</t>
  </si>
  <si>
    <t>ppp_rate</t>
  </si>
  <si>
    <t>standard_workweek_note</t>
  </si>
  <si>
    <t>ilo_prod_growth_pa_2015_2025</t>
  </si>
  <si>
    <t>ilo_weekly_hours_2015</t>
  </si>
  <si>
    <t>ilo_gdp_per_hour_2015</t>
  </si>
  <si>
    <t>ilo_gdp_per_hour_2025</t>
  </si>
  <si>
    <t>ilo_prod_growth_pa_2014_2024</t>
  </si>
  <si>
    <t>pwt_annual_hours_2023</t>
  </si>
  <si>
    <t>pwt_weekly_hours_2023</t>
  </si>
  <si>
    <t>pwt_prod_growth_pa_2013_2023</t>
  </si>
  <si>
    <t>E0k_2035</t>
  </si>
  <si>
    <t>E0h_2025</t>
  </si>
  <si>
    <t>E0h_2035</t>
  </si>
  <si>
    <t>E0a_2025</t>
  </si>
  <si>
    <t>E0a_2035</t>
  </si>
  <si>
    <t>F0a_2025</t>
  </si>
  <si>
    <t>F0a_2035</t>
  </si>
  <si>
    <t>F0a_2015</t>
  </si>
  <si>
    <t>A0_2025</t>
  </si>
  <si>
    <t>A0_2035</t>
  </si>
  <si>
    <t>A0p_2025</t>
  </si>
  <si>
    <t>A0pi_2025</t>
  </si>
  <si>
    <t>A0pi_2035</t>
  </si>
  <si>
    <t>A0pi_2100</t>
  </si>
  <si>
    <t>growth_pi_2025_2100</t>
  </si>
  <si>
    <t>Z0a_2100</t>
  </si>
  <si>
    <t>Z0b_2100</t>
  </si>
  <si>
    <t>G5s_2025</t>
  </si>
  <si>
    <t>G5s_2035</t>
  </si>
  <si>
    <t>G0p_2035</t>
  </si>
  <si>
    <t>extra_ps_eur_per_adult_2035</t>
  </si>
  <si>
    <t>nni_2025</t>
  </si>
  <si>
    <t>gdp_2025</t>
  </si>
  <si>
    <t>cfc_share_2025</t>
  </si>
  <si>
    <t>cfc_per_adult_2025</t>
  </si>
  <si>
    <t>adult_pop_2025</t>
  </si>
  <si>
    <t>income_avg_2025</t>
  </si>
  <si>
    <t>income_avg_2035</t>
  </si>
  <si>
    <t>ypt_avg_2025</t>
  </si>
  <si>
    <t>ypt_avg_2035</t>
  </si>
  <si>
    <t>dividend_2025</t>
  </si>
  <si>
    <t>dividend_2035</t>
  </si>
  <si>
    <t>ppp_rate_ppp_ref</t>
  </si>
  <si>
    <t>IT</t>
  </si>
  <si>
    <t>ITA</t>
  </si>
  <si>
    <t>Italy</t>
  </si>
  <si>
    <t>40</t>
  </si>
  <si>
    <t>EUR</t>
  </si>
  <si>
    <t>Legislative Decree 66/2003 art. 3: normal working time 40 h/week; collective agreements may set less</t>
  </si>
  <si>
    <t>BR</t>
  </si>
  <si>
    <t>BRA</t>
  </si>
  <si>
    <t>Brazil</t>
  </si>
  <si>
    <t>44</t>
  </si>
  <si>
    <t>BRL</t>
  </si>
  <si>
    <t>Constitution art. 7(XIII): 44 h/week</t>
  </si>
  <si>
    <t>CN</t>
  </si>
  <si>
    <t>CHN</t>
  </si>
  <si>
    <t>China</t>
  </si>
  <si>
    <t>CNY</t>
  </si>
  <si>
    <t>State Council Decree 174 art. 3: 8 h/day and 40 h/week (Labour Law art. 36 caps ordinary hours at 44)</t>
  </si>
  <si>
    <t>IN</t>
  </si>
  <si>
    <t>IND</t>
  </si>
  <si>
    <t>India</t>
  </si>
  <si>
    <t>48</t>
  </si>
  <si>
    <t>INR</t>
  </si>
  <si>
    <t>Factories Act 1948 s. 51: 48 h/week (state shops and establishments acts similar)</t>
  </si>
  <si>
    <t>US</t>
  </si>
  <si>
    <t>USA</t>
  </si>
  <si>
    <t>United States</t>
  </si>
  <si>
    <t>USD</t>
  </si>
  <si>
    <t>Fair Labor Standards Act: 40 h/week is the overtime threshold and the de facto full-time norm</t>
  </si>
  <si>
    <t>CA</t>
  </si>
  <si>
    <t>CAN</t>
  </si>
  <si>
    <t>Canada</t>
  </si>
  <si>
    <t>CAD</t>
  </si>
  <si>
    <t>Canada Labour Code: 40 h/week standard hours for federally regulated work; provinces 40-44</t>
  </si>
  <si>
    <t>DE</t>
  </si>
  <si>
    <t>DEU</t>
  </si>
  <si>
    <t>Germany</t>
  </si>
  <si>
    <t>Full-time benchmark 40 h/week; collective agreements typically 35-40 h (Arbeitszeitgesetz caps at 48 h averaged)</t>
  </si>
  <si>
    <t>PE</t>
  </si>
  <si>
    <t>PER</t>
  </si>
  <si>
    <t>Peru</t>
  </si>
  <si>
    <t>40-48</t>
  </si>
  <si>
    <t>PEN</t>
  </si>
  <si>
    <t>Constitution art. 25: 8 h/day or 48 h/week</t>
  </si>
  <si>
    <t>JP</t>
  </si>
  <si>
    <t>JPN</t>
  </si>
  <si>
    <t>Japan</t>
  </si>
  <si>
    <t>JPY</t>
  </si>
  <si>
    <t>Labour Standards Act art. 32: 40 h/week</t>
  </si>
  <si>
    <t>AU</t>
  </si>
  <si>
    <t>AUS</t>
  </si>
  <si>
    <t>Australia</t>
  </si>
  <si>
    <t>38</t>
  </si>
  <si>
    <t>AUD</t>
  </si>
  <si>
    <t>Fair Work Act, National Employment Standards s. 62: 38 ordinary hours/week</t>
  </si>
  <si>
    <t>KR</t>
  </si>
  <si>
    <t>KOR</t>
  </si>
  <si>
    <t>South Korea</t>
  </si>
  <si>
    <t>KRW</t>
  </si>
  <si>
    <t>Labor Standards Act: 40 h/week regular time (52 h cap including overtime)</t>
  </si>
  <si>
    <t>ID</t>
  </si>
  <si>
    <t>IDN</t>
  </si>
  <si>
    <t>Indonesia</t>
  </si>
  <si>
    <t>IDR</t>
  </si>
  <si>
    <t>Law 13/2003 as amended: 40 h/week (7 h x 6 days or 8 h x 5 days)</t>
  </si>
  <si>
    <t>ZA</t>
  </si>
  <si>
    <t>ZAF</t>
  </si>
  <si>
    <t>South Africa</t>
  </si>
  <si>
    <t>45</t>
  </si>
  <si>
    <t>ZAR</t>
  </si>
  <si>
    <t>Basic Conditions of Employment Act s. 9: 45 h/week</t>
  </si>
  <si>
    <t>TR</t>
  </si>
  <si>
    <t>TUR</t>
  </si>
  <si>
    <t>Turkey</t>
  </si>
  <si>
    <t>TRY</t>
  </si>
  <si>
    <t>Labour Act No. 4857 art. 63: 45 h/week</t>
  </si>
  <si>
    <t>NG</t>
  </si>
  <si>
    <t>NGA</t>
  </si>
  <si>
    <t>Nigeria</t>
  </si>
  <si>
    <t>NGN</t>
  </si>
  <si>
    <t>Labour Act leaves normal hours to agreement; 48 h/week is the general standard, 40 h typical in office and public-sector work</t>
  </si>
  <si>
    <t>FR</t>
  </si>
  <si>
    <t>FRA</t>
  </si>
  <si>
    <t>France</t>
  </si>
  <si>
    <t>35</t>
  </si>
  <si>
    <t>Code du travail art. L3121-27: legal working time 35 h/week</t>
  </si>
  <si>
    <t>RU</t>
  </si>
  <si>
    <t>RUS</t>
  </si>
  <si>
    <t>Russia</t>
  </si>
  <si>
    <t>RUB</t>
  </si>
  <si>
    <t>Labour Code art. 91: 40 h/week</t>
  </si>
  <si>
    <t>ES</t>
  </si>
  <si>
    <t>ESP</t>
  </si>
  <si>
    <t>Spain</t>
  </si>
  <si>
    <t>Estatuto de los Trabajadores art. 34: 40 h/week averaged over the year (the 37.5 h reform is not in force)</t>
  </si>
  <si>
    <t>GB</t>
  </si>
  <si>
    <t>GBR</t>
  </si>
  <si>
    <t>United Kingdom</t>
  </si>
  <si>
    <t>37.5</t>
  </si>
  <si>
    <t>GBP</t>
  </si>
  <si>
    <t>No statutory standard workweek; 37.5 h is the prevailing full-time norm (Working Time Regulations cap 48 h averaged, with opt-out)</t>
  </si>
  <si>
    <t>SA</t>
  </si>
  <si>
    <t>SAU</t>
  </si>
  <si>
    <t>Saudi Arabia</t>
  </si>
  <si>
    <t>SAR</t>
  </si>
  <si>
    <t>Labour Law art. 98: 8 h/day and 48 h/week (36 h/week for Muslim employees during Ramadan)</t>
  </si>
  <si>
    <t>EG</t>
  </si>
  <si>
    <t>EGY</t>
  </si>
  <si>
    <t>Egypt</t>
  </si>
  <si>
    <t>EGP</t>
  </si>
  <si>
    <t>Labour Law art. 117: 8 h/day and 48 h/week excluding breaks</t>
  </si>
  <si>
    <t>MX</t>
  </si>
  <si>
    <t>MEX</t>
  </si>
  <si>
    <t>Mexico</t>
  </si>
  <si>
    <t>MXN</t>
  </si>
  <si>
    <t>Federal Labour Law art. 61: 48 h/week (a phased reduction to 40 h has been proposed, not yet in force)</t>
  </si>
  <si>
    <t>PK</t>
  </si>
  <si>
    <t>PAK</t>
  </si>
  <si>
    <t>Pakistan</t>
  </si>
  <si>
    <t>PKR</t>
  </si>
  <si>
    <t>Factories Act 1934: 48 h/week, 8 h/day over 6 days</t>
  </si>
  <si>
    <t>TW</t>
  </si>
  <si>
    <t>TWN</t>
  </si>
  <si>
    <t>Taiwan</t>
  </si>
  <si>
    <t>TWD</t>
  </si>
  <si>
    <t>Labor Standards Act art. 30: 8 h/day and 40 h/week</t>
  </si>
  <si>
    <t>VN</t>
  </si>
  <si>
    <t>VNM</t>
  </si>
  <si>
    <t>Vietnam</t>
  </si>
  <si>
    <t>VND</t>
  </si>
  <si>
    <t>Labour Code 2019 art. 105: normal working time up to 8 h/day and 48 h/week; the State encourages 44 h</t>
  </si>
  <si>
    <t>BD</t>
  </si>
  <si>
    <t>BGD</t>
  </si>
  <si>
    <t>Bangladesh</t>
  </si>
  <si>
    <t>BDT</t>
  </si>
  <si>
    <t>Labour Act 2006: 8 h/day and 48 h/week</t>
  </si>
  <si>
    <t>ET</t>
  </si>
  <si>
    <t>ETH</t>
  </si>
  <si>
    <t>Ethiopia</t>
  </si>
  <si>
    <t>ETB</t>
  </si>
  <si>
    <t>Labour Proclamation 1156/2019: 8 h/day and 48 h/week</t>
  </si>
  <si>
    <t>KE</t>
  </si>
  <si>
    <t>KEN</t>
  </si>
  <si>
    <t>Kenya</t>
  </si>
  <si>
    <t>52</t>
  </si>
  <si>
    <t>KES</t>
  </si>
  <si>
    <t>General Wages Order: 52 h/week for day workers (60 h for night workers); 45 h is the common contractual norm</t>
  </si>
  <si>
    <t>CD</t>
  </si>
  <si>
    <t>COD</t>
  </si>
  <si>
    <t>DR Congo</t>
  </si>
  <si>
    <t>CDF</t>
  </si>
  <si>
    <t>Labour Code art. 119: 45 h/week</t>
  </si>
  <si>
    <t>OD</t>
  </si>
  <si>
    <t>Rest of Latin America</t>
  </si>
  <si>
    <t>variable</t>
  </si>
  <si>
    <t>description</t>
  </si>
  <si>
    <t>unit</t>
  </si>
  <si>
    <t>source</t>
  </si>
  <si>
    <t>used_for</t>
  </si>
  <si>
    <t>Chancel/Bothe country code (WID convention)</t>
  </si>
  <si>
    <t>data/chancel_countries.csv</t>
  </si>
  <si>
    <t>key</t>
  </si>
  <si>
    <t>ISO 3166-1 alpha-3 code</t>
  </si>
  <si>
    <t>-</t>
  </si>
  <si>
    <t>key for the ILO/PWT merge</t>
  </si>
  <si>
    <t>Country or aggregate name</t>
  </si>
  <si>
    <t>code_simulator/js/countries.js</t>
  </si>
  <si>
    <t>label</t>
  </si>
  <si>
    <t>TRUE if the country has its own column in the Chancel workbook</t>
  </si>
  <si>
    <t>logical</t>
  </si>
  <si>
    <t>Chancel sheet A0 header</t>
  </si>
  <si>
    <t>coverage flag</t>
  </si>
  <si>
    <t>Standard full-time workweek, i.e. the social norm: the statutory standard workweek where one exists, otherwise the prevailing full-time norm. Excludes holidays, leave and part-time work by construction, so it is NOT hours actually worked</t>
  </si>
  <si>
    <t>hours/week</t>
  </si>
  <si>
    <t>National labour law, researched country by country; the legal basis is given in standard_workweek_note</t>
  </si>
  <si>
    <t>REQUESTED: usual workweek as a social norm</t>
  </si>
  <si>
    <t>Legal basis for standard_workweek_hours, plus any caveat (statutory cap, pending reform, sector variation)</t>
  </si>
  <si>
    <t>national labour codes and statutes</t>
  </si>
  <si>
    <t>documentation of the column above</t>
  </si>
  <si>
    <t>Mean weekly hours actually worked per employed person, 2025 (averaged over full-time and part-time workers, net of leave and holidays)</t>
  </si>
  <si>
    <t>ILO modelled estimates, SDMX dataflow DF_HOW_2EMP_SEX_NB</t>
  </si>
  <si>
    <t>REQUESTED: effective workweek, to contrast with the norm</t>
  </si>
  <si>
    <t>Growth of GDP per hour worked, 2015-2025, compound annual rate</t>
  </si>
  <si>
    <t>%/year</t>
  </si>
  <si>
    <t>ILO modelled estimates, SDMX dataflow DF_GDP_2HRW_NOC_NB</t>
  </si>
  <si>
    <t>REQUESTED: productivity growth over the last ten years</t>
  </si>
  <si>
    <t>Mean weekly hours actually worked per employed person, 2015</t>
  </si>
  <si>
    <t>ILO DF_HOW_2EMP_SEX_NB</t>
  </si>
  <si>
    <t>context: hours trend</t>
  </si>
  <si>
    <t>GDP per hour worked, 2015</t>
  </si>
  <si>
    <t>constant 2021 PPP USD</t>
  </si>
  <si>
    <t>ILO DF_GDP_2HRW_NOC_NB</t>
  </si>
  <si>
    <t>level behind the growth rate</t>
  </si>
  <si>
    <t>GDP per hour worked, 2025</t>
  </si>
  <si>
    <t>Growth of GDP per hour worked, 2014-2024, compound annual rate</t>
  </si>
  <si>
    <t>robustness: 2025 is an ILO projection</t>
  </si>
  <si>
    <t>Average annual hours worked per worker, 2023</t>
  </si>
  <si>
    <t>hours/year</t>
  </si>
  <si>
    <t>Penn World Table 11.0, via Our World in Data</t>
  </si>
  <si>
    <t>cross-check on hours</t>
  </si>
  <si>
    <t>pwt_annual_hours_2023 divided by 52</t>
  </si>
  <si>
    <t>derived from PWT 11.0</t>
  </si>
  <si>
    <t>Growth of GDP per hour worked, 2013-2023, compound annual rate</t>
  </si>
  <si>
    <t>cross-check on productivity growth</t>
  </si>
  <si>
    <t>Projected per capita economic labour hours, 2035 (PC and PI scenarios)</t>
  </si>
  <si>
    <t>hours/year per capita</t>
  </si>
  <si>
    <t>Chancel MacroScenarios, sheet E0k</t>
  </si>
  <si>
    <t>REQUESTED; questionnaire.R section 8, hours_pc_pi_2035</t>
  </si>
  <si>
    <t>Projected per capita economic labour hours, 2025 (SC scenario)</t>
  </si>
  <si>
    <t>Chancel, sheet E0h</t>
  </si>
  <si>
    <t>REQUESTED; questionnaire.R section 8</t>
  </si>
  <si>
    <t>Projected per capita economic labour hours, 2035 (SC scenario)</t>
  </si>
  <si>
    <t>REQUESTED; questionnaire.R section 8, hours_pc_2035</t>
  </si>
  <si>
    <t>Annual economic labour hours per employed working-age individual, 2025 (SC)</t>
  </si>
  <si>
    <t>hours/year per worker</t>
  </si>
  <si>
    <t>Chancel, sheet E0a</t>
  </si>
  <si>
    <t>REQUESTED; questionnaire.R section 8, change_hours_pw</t>
  </si>
  <si>
    <t>Annual economic labour hours per employed working-age individual, 2035 (SC)</t>
  </si>
  <si>
    <t>Hourly labour productivity (hourly GDP), 2025</t>
  </si>
  <si>
    <t>EUR PPP 2025 per hour</t>
  </si>
  <si>
    <t>Chancel, sheet F0a</t>
  </si>
  <si>
    <t>REQUESTED; questionnaire.R section 8, prod_growth_2035</t>
  </si>
  <si>
    <t>Hourly labour productivity (hourly GDP), 2035 (SC and PC)</t>
  </si>
  <si>
    <t>Hourly labour productivity, 2015 (historical)</t>
  </si>
  <si>
    <t>basis for the Chancel-implied growth rate</t>
  </si>
  <si>
    <t>Chancel-implied productivity growth 2015-2025, compound annual rate (from F0a)</t>
  </si>
  <si>
    <t>derived from Chancel sheet F0a</t>
  </si>
  <si>
    <t>direct comparison with ilo_prod_growth_pa_2015_2025</t>
  </si>
  <si>
    <t>Growth of hourly labour productivity 2025-2035 under SC, compound annual rate (from F0a); the ratio F0a_2035/F0a_2025 used by the code equals (1 + this/100)^10</t>
  </si>
  <si>
    <t>questionnaire.R section 8, b90k_scale</t>
  </si>
  <si>
    <t>Change in annual hours per worker 2025-2035 under SC, compound annual rate (from E0a); negative because hours fall. The ratio E0a_2035/E0a_2025 used by the code equals (1 + this/100)^10</t>
  </si>
  <si>
    <t>derived from Chancel sheet E0a</t>
  </si>
  <si>
    <t>questionnaire.R section 8, b_scale and b90k_scale</t>
  </si>
  <si>
    <t>E0a_2035 divided by 46, i.e. SC 2035 hours per worker over 46 working weeks</t>
  </si>
  <si>
    <t>made comparable with ilo_weekly_hours_2025</t>
  </si>
  <si>
    <t>Total GDP, 2025 (SC scenario)</t>
  </si>
  <si>
    <t>constant 2025 EUR PPP</t>
  </si>
  <si>
    <t>Chancel, sheet A0</t>
  </si>
  <si>
    <t>questionnaire.R section 8, gdp_it_2025</t>
  </si>
  <si>
    <t>Total GDP, 2035 (SC scenario)</t>
  </si>
  <si>
    <t>questionnaire.R section 8, gdp_it_sc_2035</t>
  </si>
  <si>
    <t>Per capita GDP, 2025 (SC scenario)</t>
  </si>
  <si>
    <t>constant 2025 EUR PPP per capita</t>
  </si>
  <si>
    <t>Chancel, sheet A0p</t>
  </si>
  <si>
    <t>questionnaire.R section 8, gdp_pc_2025</t>
  </si>
  <si>
    <t>Per capita GDP, 2025 (PI scenario)</t>
  </si>
  <si>
    <t>Chancel, sheet A0pi</t>
  </si>
  <si>
    <t>questionnaire.R section 3, growth_pi</t>
  </si>
  <si>
    <t>Per capita GDP, 2035 (PI scenario)</t>
  </si>
  <si>
    <t>questionnaire.R section 8, gdp_pc_pi_2035</t>
  </si>
  <si>
    <t>Per capita GDP, 2100 (PI scenario)</t>
  </si>
  <si>
    <t>A0pi_2100 divided by A0pi_2025</t>
  </si>
  <si>
    <t>ratio</t>
  </si>
  <si>
    <t>derived from Chancel sheet A0pi</t>
  </si>
  <si>
    <t>questionnaire.R section 3, growth_pi_by_country</t>
  </si>
  <si>
    <t>Total population 2100, ABR-decline / GJP projection (SC family)</t>
  </si>
  <si>
    <t>persons</t>
  </si>
  <si>
    <t>Chancel, sheet Z0a</t>
  </si>
  <si>
    <t>questionnaire.R section 3, pop_sc_2100</t>
  </si>
  <si>
    <t>Total population 2100, UN medium variant (PI family)</t>
  </si>
  <si>
    <t>Chancel, sheet Z0b</t>
  </si>
  <si>
    <t>questionnaire.R section 3, pop_pi_2100</t>
  </si>
  <si>
    <t>Share of education, health and public services in GNE, 2025 (SC)</t>
  </si>
  <si>
    <t>share of GNE</t>
  </si>
  <si>
    <t>Chancel, sheet G5s</t>
  </si>
  <si>
    <t>questionnaire.R section 7, extra public-services tax rate</t>
  </si>
  <si>
    <t>Share of education, health and public services in GNE, 2035 (SC)</t>
  </si>
  <si>
    <t>Per capita GNE, 2035 (SC scenario)</t>
  </si>
  <si>
    <t>Chancel, sheet G0p</t>
  </si>
  <si>
    <t>(G5s_2035 minus G5s_2025) times G0p_2035: cost of the 2025-2035 expansion of public services</t>
  </si>
  <si>
    <t>EUR PPP 2025 per adult</t>
  </si>
  <si>
    <t>derived from Chancel sheets G5s and G0p</t>
  </si>
  <si>
    <t>questionnaire.R section 7, numerator of extra_tax_rate</t>
  </si>
  <si>
    <t>National net income per adult, 2025</t>
  </si>
  <si>
    <t>Bothe, distribution_simul_extract.dta, variable nni</t>
  </si>
  <si>
    <t>questionnaire.R sections 2 and 4</t>
  </si>
  <si>
    <t>GDP per adult, 2025</t>
  </si>
  <si>
    <t>Bothe, distribution_simul_extract.dta, variable gdp</t>
  </si>
  <si>
    <t>questionnaire.R section 2</t>
  </si>
  <si>
    <t>Consumption of fixed capital as a share of GDP, 2025</t>
  </si>
  <si>
    <t>share of GDP</t>
  </si>
  <si>
    <t>Bothe, distribution_simul_extract.dta, variable cfc</t>
  </si>
  <si>
    <t>cfc_share_2025 times gdp_2025</t>
  </si>
  <si>
    <t>derived from the Bothe simul extract</t>
  </si>
  <si>
    <t>questionnaire.R section 4, cash income build-up</t>
  </si>
  <si>
    <t>Adult population, 2025</t>
  </si>
  <si>
    <t>Bothe, distribution_simul_extract.dta, variable pop</t>
  </si>
  <si>
    <t>weighting</t>
  </si>
  <si>
    <t>Mean full income per adult 2025 = national secondary income minus GIT paid plus global dividend</t>
  </si>
  <si>
    <t>derived from the Bothe simul extract (sdiinc, nni, diff, ypt) and Bothe AppendixMacro sheet E3bp</t>
  </si>
  <si>
    <t>questionnaire.R sections 2 and 5</t>
  </si>
  <si>
    <t>Mean full income per adult, 2035 (same definition)</t>
  </si>
  <si>
    <t>derived from the Bothe simul extract and sheet E3bp</t>
  </si>
  <si>
    <t>questionnaire.R section 6, base of IT35</t>
  </si>
  <si>
    <t>Mean global income tax (GIT) paid per adult, 2025</t>
  </si>
  <si>
    <t>Bothe simul extract, variable ypt</t>
  </si>
  <si>
    <t>questionnaire.R sections 4 and 6</t>
  </si>
  <si>
    <t>Mean global income tax (GIT) paid per adult, 2035</t>
  </si>
  <si>
    <t>questionnaire.R section 6, cash_GR35</t>
  </si>
  <si>
    <t>Global per-adult dividend 2025, uniform worldwide (World column)</t>
  </si>
  <si>
    <t>Bothe AppendixMacro, sheet E3bp</t>
  </si>
  <si>
    <t>Global per-adult dividend 2035, uniform worldwide (World column)</t>
  </si>
  <si>
    <t>ISO 4217 currency in which incomes are shown to respondents of this country</t>
  </si>
  <si>
    <t/>
  </si>
  <si>
    <t>survey display</t>
  </si>
  <si>
    <t>survey display and income entry (global_survey/scenarios.js)</t>
  </si>
  <si>
    <t>verification</t>
  </si>
  <si>
    <t>derived</t>
  </si>
  <si>
    <t>c0p_2025</t>
  </si>
  <si>
    <t>fx_rate</t>
  </si>
  <si>
    <t>fx_source</t>
  </si>
  <si>
    <t>fx_date</t>
  </si>
  <si>
    <t>check_vs_fg</t>
  </si>
  <si>
    <t>2026-08-31</t>
  </si>
  <si>
    <t>er-api</t>
  </si>
  <si>
    <t>PPP EUR -&gt; local currency: units of local currency with the same purchasing power as 1 EUR PPP 2025, the unit of every income series in this project. EUR PPP = local / ppp_rate; local display = EUR PPP x ppp_rate. Equals c0p_2025 x fx_rate. NOTE: euro-area countries are not 1 - the PPP euro is the euro-area average, so Italy (cheaper) is 0.90 and Germany (dearer) 1.05</t>
  </si>
  <si>
    <t>local currency per EUR PPP 2025</t>
  </si>
  <si>
    <t>derived: c0p_2025 x fx_rate</t>
  </si>
  <si>
    <t>Chancel et al. (2026) Appendix_Macro sheet C0p, Real Exchange Rate (Euro PPP XR / Euro MER), 2025 - the last observed year of that series. Same price basis as the income data</t>
  </si>
  <si>
    <t>data/Chancel/Chanceletal2026Appendix_Macro.xlsx, sheet C0p</t>
  </si>
  <si>
    <t>provenance of ppp_rate</t>
  </si>
  <si>
    <t>Nominal exchange rate, local currency per euro, on fx_date</t>
  </si>
  <si>
    <t>local currency per EUR</t>
  </si>
  <si>
    <t>ECB / open.er-api.com</t>
  </si>
  <si>
    <t>ECB euro reference rate, or open.er-api.com for the currencies the ECB does not publish</t>
  </si>
  <si>
    <t>provenance</t>
  </si>
  <si>
    <t>Date of the nominal exchange rate; the same day is used for every country</t>
  </si>
  <si>
    <t>date</t>
  </si>
  <si>
    <t>Independent cross-check: PPP factor from Fisher-Gethin 2023 xppp_us rebased on Italy, close to World Bank PA.NUS.PPP 2024</t>
  </si>
  <si>
    <t>local currency per EUR PPP 2025 (Italy = 1)</t>
  </si>
  <si>
    <t>data/FisherGethin/fisher-gethin-2023-slim.dta</t>
  </si>
  <si>
    <t>(ppp_rate / ppp_rate of Italy) / ppp_rate_ppp_ref. 1.00 = the two independent PPP sources agree</t>
  </si>
  <si>
    <t>IMF GDP growth 2031</t>
  </si>
  <si>
    <t>LTGM labour force growth 2031</t>
  </si>
  <si>
    <t>GDP/worker growth 2031 g(GDP)-g(labour force)</t>
  </si>
  <si>
    <t>beef consumption kg/cp/yr 2026_OECD-FAO Agricultural Outlook 2024-2033</t>
  </si>
  <si>
    <t>beef target 2100 (Chancel)</t>
  </si>
  <si>
    <t>beef cons variation over 2026-2100</t>
  </si>
  <si>
    <t>aviation CO2 (kg/cp/yr) 2024_OWID</t>
  </si>
  <si>
    <t>aviation target: 2024  World average (kg/cp/yr)_OWID</t>
  </si>
  <si>
    <t xml:space="preserve">aviation cons variation </t>
  </si>
  <si>
    <t>EU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</si>
</sst>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"/>
    <numFmt numFmtId="166" formatCode="0.00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2" fontId="1" fillId="2" borderId="0" xfId="0" applyNumberFormat="1" applyFont="1" applyFill="1"/>
    <xf numFmtId="165" fontId="2" fillId="3" borderId="0" xfId="0" applyNumberFormat="1" applyFont="1" applyFill="1"/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2" fontId="1" fillId="6" borderId="0" xfId="0" applyNumberFormat="1" applyFont="1" applyFill="1"/>
    <xf numFmtId="0" fontId="3" fillId="7" borderId="0" xfId="0" applyFont="1" applyFill="1" applyAlignment="1">
      <alignment horizontal="center" vertical="center" wrapText="1"/>
    </xf>
    <xf numFmtId="2" fontId="0" fillId="0" borderId="0" xfId="0" applyNumberFormat="1"/>
    <xf numFmtId="0" fontId="2" fillId="5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0" fillId="0" borderId="0" xfId="0" applyNumberFormat="1"/>
    <xf numFmtId="2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1"/>
  <sheetViews>
    <sheetView tabSelected="1" zoomScale="150" workbookViewId="0">
      <pane xSplit="3" ySplit="1" topLeftCell="J2" activePane="bottomRight" state="frozen"/>
      <selection pane="topRight"/>
      <selection pane="bottomLeft"/>
      <selection pane="bottomRight" activeCell="L17" sqref="L17"/>
    </sheetView>
  </sheetViews>
  <sheetFormatPr baseColWidth="10" defaultRowHeight="15" x14ac:dyDescent="0.25"/>
  <cols>
    <col min="1" max="2" width="6.7109375" customWidth="1"/>
    <col min="3" max="3" width="24.7109375" customWidth="1"/>
    <col min="4" max="4" width="11.7109375" customWidth="1"/>
    <col min="5" max="5" width="12.7109375" customWidth="1"/>
    <col min="6" max="16" width="13.7109375" customWidth="1"/>
    <col min="17" max="17" width="18.42578125" customWidth="1"/>
    <col min="18" max="18" width="10.7109375" customWidth="1"/>
    <col min="19" max="19" width="12.7109375" customWidth="1"/>
    <col min="20" max="20" width="62.7109375" customWidth="1"/>
    <col min="21" max="66" width="13.7109375" customWidth="1"/>
  </cols>
  <sheetData>
    <row r="1" spans="1:73" ht="59.1" customHeight="1" x14ac:dyDescent="0.25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11" t="s">
        <v>401</v>
      </c>
      <c r="O1" s="11" t="s">
        <v>402</v>
      </c>
      <c r="P1" s="11" t="s">
        <v>403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9" t="s">
        <v>31</v>
      </c>
      <c r="X1" s="9" t="s">
        <v>32</v>
      </c>
      <c r="Y1" s="9" t="s">
        <v>33</v>
      </c>
      <c r="Z1" s="9" t="s">
        <v>34</v>
      </c>
      <c r="AA1" s="9" t="s">
        <v>35</v>
      </c>
      <c r="AB1" s="9" t="s">
        <v>36</v>
      </c>
      <c r="AC1" s="9" t="s">
        <v>37</v>
      </c>
      <c r="AD1" s="9" t="s">
        <v>38</v>
      </c>
      <c r="AE1" s="9" t="s">
        <v>39</v>
      </c>
      <c r="AF1" s="9" t="s">
        <v>40</v>
      </c>
      <c r="AG1" s="9" t="s">
        <v>41</v>
      </c>
      <c r="AH1" s="9" t="s">
        <v>42</v>
      </c>
      <c r="AI1" s="9" t="s">
        <v>43</v>
      </c>
      <c r="AJ1" s="9" t="s">
        <v>44</v>
      </c>
      <c r="AK1" s="9" t="s">
        <v>45</v>
      </c>
      <c r="AL1" s="9" t="s">
        <v>46</v>
      </c>
      <c r="AM1" s="9" t="s">
        <v>47</v>
      </c>
      <c r="AN1" s="9" t="s">
        <v>48</v>
      </c>
      <c r="AO1" s="9" t="s">
        <v>49</v>
      </c>
      <c r="AP1" s="9" t="s">
        <v>50</v>
      </c>
      <c r="AQ1" s="9" t="s">
        <v>51</v>
      </c>
      <c r="AR1" s="9" t="s">
        <v>52</v>
      </c>
      <c r="AS1" s="9" t="s">
        <v>53</v>
      </c>
      <c r="AT1" s="9" t="s">
        <v>54</v>
      </c>
      <c r="AU1" s="9" t="s">
        <v>55</v>
      </c>
      <c r="AV1" s="9" t="s">
        <v>56</v>
      </c>
      <c r="AW1" s="9" t="s">
        <v>57</v>
      </c>
      <c r="AX1" s="9" t="s">
        <v>58</v>
      </c>
      <c r="AY1" s="9" t="s">
        <v>59</v>
      </c>
      <c r="AZ1" s="9" t="s">
        <v>60</v>
      </c>
      <c r="BA1" s="9" t="s">
        <v>61</v>
      </c>
      <c r="BB1" s="9" t="s">
        <v>62</v>
      </c>
      <c r="BC1" s="9" t="s">
        <v>63</v>
      </c>
      <c r="BD1" s="9" t="s">
        <v>64</v>
      </c>
      <c r="BE1" s="9" t="s">
        <v>65</v>
      </c>
      <c r="BF1" s="9" t="s">
        <v>66</v>
      </c>
      <c r="BG1" s="9" t="s">
        <v>67</v>
      </c>
      <c r="BH1" s="9" t="s">
        <v>68</v>
      </c>
      <c r="BI1" s="9" t="s">
        <v>69</v>
      </c>
      <c r="BJ1" s="9" t="s">
        <v>377</v>
      </c>
      <c r="BK1" s="9" t="s">
        <v>378</v>
      </c>
      <c r="BL1" s="9" t="s">
        <v>379</v>
      </c>
      <c r="BM1" s="9" t="s">
        <v>380</v>
      </c>
      <c r="BN1" s="9" t="s">
        <v>381</v>
      </c>
      <c r="BO1" s="9" t="s">
        <v>404</v>
      </c>
      <c r="BP1" s="13"/>
      <c r="BQ1" s="14" t="s">
        <v>405</v>
      </c>
      <c r="BR1" s="14" t="s">
        <v>406</v>
      </c>
      <c r="BS1" s="15" t="s">
        <v>407</v>
      </c>
      <c r="BT1" s="15" t="s">
        <v>408</v>
      </c>
      <c r="BU1" s="15" t="s">
        <v>409</v>
      </c>
    </row>
    <row r="2" spans="1:73" x14ac:dyDescent="0.25">
      <c r="A2" t="s">
        <v>70</v>
      </c>
      <c r="B2" t="s">
        <v>71</v>
      </c>
      <c r="C2" t="s">
        <v>72</v>
      </c>
      <c r="D2" t="b">
        <v>1</v>
      </c>
      <c r="E2" s="2" t="s">
        <v>73</v>
      </c>
      <c r="F2" s="2">
        <v>33.9</v>
      </c>
      <c r="G2" s="2">
        <v>36.350492622900703</v>
      </c>
      <c r="H2" s="2">
        <v>32.259311210227601</v>
      </c>
      <c r="I2" s="6">
        <v>1.2107434828650101</v>
      </c>
      <c r="J2" s="6">
        <v>2.9774920160439802</v>
      </c>
      <c r="K2" s="6">
        <v>40</v>
      </c>
      <c r="L2" s="10">
        <v>1.5</v>
      </c>
      <c r="M2" s="3">
        <v>3</v>
      </c>
      <c r="N2" s="3">
        <v>0.7</v>
      </c>
      <c r="O2">
        <v>-1.33</v>
      </c>
      <c r="P2" s="12">
        <f>N2-O2</f>
        <v>2.0300000000000002</v>
      </c>
      <c r="Q2" s="3">
        <v>-0.112548169707489</v>
      </c>
      <c r="R2" t="s">
        <v>74</v>
      </c>
      <c r="S2" s="1">
        <v>0.90090000000000003</v>
      </c>
      <c r="T2" t="s">
        <v>75</v>
      </c>
      <c r="U2" s="3">
        <v>4.9000000000000002E-2</v>
      </c>
      <c r="V2" s="2">
        <v>33.19</v>
      </c>
      <c r="W2" s="2">
        <v>73.75</v>
      </c>
      <c r="X2" s="2">
        <v>74.11</v>
      </c>
      <c r="Y2" s="3">
        <v>-6.5000000000000002E-2</v>
      </c>
      <c r="Z2" s="5">
        <v>1701</v>
      </c>
      <c r="AA2" s="2">
        <v>32.700000000000003</v>
      </c>
      <c r="AB2" s="6">
        <v>1.05</v>
      </c>
      <c r="AC2" s="5">
        <v>624.05719000324405</v>
      </c>
      <c r="AD2" s="5">
        <v>629.72383076184201</v>
      </c>
      <c r="AE2" s="5">
        <v>539.71018833527603</v>
      </c>
      <c r="AF2" s="5">
        <v>1672.1226606534301</v>
      </c>
      <c r="AG2" s="5">
        <v>1483.9283156704701</v>
      </c>
      <c r="AH2" s="2">
        <v>65.657238444564499</v>
      </c>
      <c r="AI2" s="2">
        <v>88.045206713929304</v>
      </c>
      <c r="AJ2" s="2">
        <v>58.212528127244397</v>
      </c>
      <c r="AK2" s="5">
        <v>2445456990309.6802</v>
      </c>
      <c r="AL2" s="5">
        <v>2690466239112.0498</v>
      </c>
      <c r="AM2" s="5">
        <v>41345.927710554803</v>
      </c>
      <c r="AN2" s="5">
        <v>41345.927710554803</v>
      </c>
      <c r="AO2" s="5">
        <v>57502.631050775803</v>
      </c>
      <c r="AP2" s="5">
        <v>203694.24167426501</v>
      </c>
      <c r="AQ2" s="4">
        <v>4.9265853483864497</v>
      </c>
      <c r="AR2" s="5">
        <v>35376464</v>
      </c>
      <c r="AS2" s="5">
        <v>35376821</v>
      </c>
      <c r="AT2" s="4">
        <v>0.201604919078719</v>
      </c>
      <c r="AU2" s="4">
        <v>0.230567233224097</v>
      </c>
      <c r="AV2" s="5">
        <v>44968.0617969511</v>
      </c>
      <c r="AW2" s="5">
        <v>1302.3791322720799</v>
      </c>
      <c r="AX2" s="5">
        <v>33880.78515625</v>
      </c>
      <c r="AY2" s="5">
        <v>41345.927710554803</v>
      </c>
      <c r="AZ2" s="4">
        <v>0.17636787891387901</v>
      </c>
      <c r="BA2" s="5">
        <v>7292.0935720371399</v>
      </c>
      <c r="BB2" s="5">
        <v>59146260</v>
      </c>
      <c r="BC2" s="5">
        <v>33880.78515625</v>
      </c>
      <c r="BD2" s="5">
        <v>40122.897433051701</v>
      </c>
      <c r="BE2" s="5">
        <v>0</v>
      </c>
      <c r="BF2" s="5">
        <v>925.58602513060998</v>
      </c>
      <c r="BG2" s="5">
        <v>0</v>
      </c>
      <c r="BH2" s="1">
        <v>1901.2022081822799</v>
      </c>
      <c r="BI2" s="1">
        <v>1</v>
      </c>
      <c r="BJ2">
        <v>0.90090599999999998</v>
      </c>
      <c r="BK2">
        <v>1</v>
      </c>
      <c r="BL2" t="s">
        <v>383</v>
      </c>
      <c r="BM2" t="s">
        <v>382</v>
      </c>
      <c r="BN2">
        <v>1</v>
      </c>
      <c r="BO2" s="12">
        <v>9.2200000000000006</v>
      </c>
      <c r="BP2" s="12" t="s">
        <v>410</v>
      </c>
      <c r="BQ2">
        <v>5.9</v>
      </c>
      <c r="BR2" s="12">
        <f>(BQ2/BO2-1)</f>
        <v>-0.36008676789587857</v>
      </c>
      <c r="BS2" s="12">
        <v>240.62</v>
      </c>
      <c r="BT2" s="12">
        <v>101.72</v>
      </c>
      <c r="BU2" s="12">
        <f>(BT2/BS2-1)</f>
        <v>-0.57725874823372947</v>
      </c>
    </row>
    <row r="3" spans="1:73" x14ac:dyDescent="0.25">
      <c r="A3" t="s">
        <v>76</v>
      </c>
      <c r="B3" t="s">
        <v>77</v>
      </c>
      <c r="C3" t="s">
        <v>78</v>
      </c>
      <c r="D3" t="b">
        <v>1</v>
      </c>
      <c r="E3" s="2" t="s">
        <v>79</v>
      </c>
      <c r="F3" s="2">
        <v>38.04</v>
      </c>
      <c r="G3" s="2">
        <v>42.656652901534102</v>
      </c>
      <c r="H3" s="2">
        <v>36.799746610843798</v>
      </c>
      <c r="I3" s="6">
        <v>1.3139929558819701</v>
      </c>
      <c r="J3" s="6">
        <v>2.5118484206093199</v>
      </c>
      <c r="K3" s="6">
        <v>44</v>
      </c>
      <c r="L3" s="10">
        <v>1.5</v>
      </c>
      <c r="M3" s="3">
        <v>3</v>
      </c>
      <c r="N3" s="3">
        <v>2.5</v>
      </c>
      <c r="O3">
        <v>0.03</v>
      </c>
      <c r="P3" s="12">
        <f t="shared" ref="P3:P16" si="0">N3-O3</f>
        <v>2.4700000000000002</v>
      </c>
      <c r="Q3" s="3">
        <v>-0.13730346598477899</v>
      </c>
      <c r="R3" t="s">
        <v>80</v>
      </c>
      <c r="S3" s="1">
        <v>3.645</v>
      </c>
      <c r="T3" t="s">
        <v>81</v>
      </c>
      <c r="U3" s="3">
        <v>0.41099999999999998</v>
      </c>
      <c r="V3" s="2">
        <v>38.08</v>
      </c>
      <c r="W3" s="2">
        <v>20.32</v>
      </c>
      <c r="X3" s="2">
        <v>21.17</v>
      </c>
      <c r="Y3" s="3">
        <v>0.13400000000000001</v>
      </c>
      <c r="Z3" s="5">
        <v>1994</v>
      </c>
      <c r="AA3" s="2">
        <v>38.299999999999997</v>
      </c>
      <c r="AB3" s="6">
        <v>0.13400000000000001</v>
      </c>
      <c r="AC3" s="5">
        <v>860.71730621956397</v>
      </c>
      <c r="AD3" s="5">
        <v>837.69361378892495</v>
      </c>
      <c r="AE3" s="5">
        <v>740.63578960485995</v>
      </c>
      <c r="AF3" s="5">
        <v>1962.20603347057</v>
      </c>
      <c r="AG3" s="5">
        <v>1692.7883440988101</v>
      </c>
      <c r="AH3" s="2">
        <v>18.381795619426601</v>
      </c>
      <c r="AI3" s="2">
        <v>23.5574662617109</v>
      </c>
      <c r="AJ3" s="2">
        <v>16.132200584681801</v>
      </c>
      <c r="AK3" s="5">
        <v>3275354666806.6401</v>
      </c>
      <c r="AL3" s="5">
        <v>3778193045134.3701</v>
      </c>
      <c r="AM3" s="5">
        <v>15398.312800366901</v>
      </c>
      <c r="AN3" s="5">
        <v>15398.312800366901</v>
      </c>
      <c r="AO3" s="5">
        <v>20008.539795242501</v>
      </c>
      <c r="AP3" s="5">
        <v>110071.83134064201</v>
      </c>
      <c r="AQ3" s="4">
        <v>7.1483046725754997</v>
      </c>
      <c r="AR3" s="5">
        <v>156158576</v>
      </c>
      <c r="AS3" s="5">
        <v>163364064</v>
      </c>
      <c r="AT3" s="4">
        <v>0.26755243355512198</v>
      </c>
      <c r="AU3" s="4">
        <v>0.29221923416030299</v>
      </c>
      <c r="AV3" s="5">
        <v>18648.048695019301</v>
      </c>
      <c r="AW3" s="5">
        <v>459.98769883574198</v>
      </c>
      <c r="AX3" s="5">
        <v>13361.44140625</v>
      </c>
      <c r="AY3" s="5">
        <v>15398.312800366901</v>
      </c>
      <c r="AZ3" s="4">
        <v>0.119110785424709</v>
      </c>
      <c r="BA3" s="5">
        <v>1834.10513186705</v>
      </c>
      <c r="BB3" s="5">
        <v>212708672</v>
      </c>
      <c r="BC3" s="5">
        <v>13361.44140625</v>
      </c>
      <c r="BD3" s="5">
        <v>16282.6556113072</v>
      </c>
      <c r="BE3" s="5">
        <v>0</v>
      </c>
      <c r="BF3" s="5">
        <v>654.598354687555</v>
      </c>
      <c r="BG3" s="5">
        <v>0</v>
      </c>
      <c r="BH3" s="1">
        <v>1901.2022081822799</v>
      </c>
      <c r="BI3" s="1">
        <v>4.0285000000000002</v>
      </c>
      <c r="BJ3">
        <v>0.60638599999999998</v>
      </c>
      <c r="BK3">
        <v>6.0110539999999997</v>
      </c>
      <c r="BL3" t="s">
        <v>383</v>
      </c>
      <c r="BM3" t="s">
        <v>382</v>
      </c>
      <c r="BN3">
        <v>1.004</v>
      </c>
      <c r="BO3" s="16">
        <v>18.899999999999999</v>
      </c>
      <c r="BP3" s="12"/>
      <c r="BQ3">
        <v>5.9</v>
      </c>
      <c r="BR3" s="12">
        <f t="shared" ref="BR3:BR16" si="1">(BQ3/BO3-1)</f>
        <v>-0.68783068783068779</v>
      </c>
      <c r="BS3" s="12">
        <v>73.900000000000006</v>
      </c>
      <c r="BT3" s="12">
        <v>101.72</v>
      </c>
      <c r="BU3" s="17">
        <f t="shared" ref="BU3:BU16" si="2">(BT3/BS3-1)</f>
        <v>0.37645466847090647</v>
      </c>
    </row>
    <row r="4" spans="1:73" x14ac:dyDescent="0.25">
      <c r="A4" t="s">
        <v>82</v>
      </c>
      <c r="B4" t="s">
        <v>83</v>
      </c>
      <c r="C4" t="s">
        <v>84</v>
      </c>
      <c r="D4" t="b">
        <v>1</v>
      </c>
      <c r="E4" s="2" t="s">
        <v>73</v>
      </c>
      <c r="F4" s="2">
        <v>44.56</v>
      </c>
      <c r="G4" s="7">
        <v>46.762587837550903</v>
      </c>
      <c r="H4" s="7">
        <v>39.7560197647758</v>
      </c>
      <c r="I4" s="6">
        <v>6.9164443769118797</v>
      </c>
      <c r="J4" s="6">
        <v>1.8696205458714099</v>
      </c>
      <c r="K4" s="6">
        <v>40</v>
      </c>
      <c r="L4" s="3">
        <v>3</v>
      </c>
      <c r="M4" s="10">
        <v>6</v>
      </c>
      <c r="N4">
        <v>3.29</v>
      </c>
      <c r="O4">
        <v>-0.65</v>
      </c>
      <c r="P4" s="12">
        <f t="shared" si="0"/>
        <v>3.94</v>
      </c>
      <c r="Q4" s="3">
        <v>-0.14983277010064699</v>
      </c>
      <c r="R4" t="s">
        <v>85</v>
      </c>
      <c r="S4" s="1">
        <v>5.2129000000000003</v>
      </c>
      <c r="T4" t="s">
        <v>86</v>
      </c>
      <c r="U4" s="3">
        <v>6.1740000000000004</v>
      </c>
      <c r="V4" s="2">
        <v>46.24</v>
      </c>
      <c r="W4" s="2">
        <v>11.31</v>
      </c>
      <c r="X4" s="2">
        <v>20.59</v>
      </c>
      <c r="Y4" s="3">
        <v>6.468</v>
      </c>
      <c r="Z4" s="5">
        <v>2328</v>
      </c>
      <c r="AA4" s="2">
        <v>44.8</v>
      </c>
      <c r="AB4" s="6">
        <v>6.1619999999999999</v>
      </c>
      <c r="AC4" s="5">
        <v>982.12466587416895</v>
      </c>
      <c r="AD4" s="5">
        <v>993.17882021018499</v>
      </c>
      <c r="AE4" s="5">
        <v>842.86323557511503</v>
      </c>
      <c r="AF4" s="5">
        <v>2151.0790405273401</v>
      </c>
      <c r="AG4" s="5">
        <v>1828.7769091796899</v>
      </c>
      <c r="AH4" s="2">
        <v>19.499290105035701</v>
      </c>
      <c r="AI4" s="2">
        <v>23.467438327920998</v>
      </c>
      <c r="AJ4" s="2">
        <v>9.9901895114833508</v>
      </c>
      <c r="AK4" s="5">
        <v>27423966558783.801</v>
      </c>
      <c r="AL4" s="5">
        <v>27165908331462.301</v>
      </c>
      <c r="AM4" s="5">
        <v>19366.281941455502</v>
      </c>
      <c r="AN4" s="5">
        <v>19366.281941455502</v>
      </c>
      <c r="AO4" s="5">
        <v>28219.340208535999</v>
      </c>
      <c r="AP4" s="5">
        <v>190145.48645871101</v>
      </c>
      <c r="AQ4" s="4">
        <v>9.8183785113489197</v>
      </c>
      <c r="AR4" s="5">
        <v>633361792</v>
      </c>
      <c r="AS4" s="5">
        <v>633368113</v>
      </c>
      <c r="AT4" s="4">
        <v>0.20794210000028501</v>
      </c>
      <c r="AU4" s="4">
        <v>0.24290009552287301</v>
      </c>
      <c r="AV4" s="5">
        <v>18584.921706884401</v>
      </c>
      <c r="AW4" s="5">
        <v>649.69160981691698</v>
      </c>
      <c r="AX4" s="5">
        <v>16131.1484375</v>
      </c>
      <c r="AY4" s="5">
        <v>19366.281941455502</v>
      </c>
      <c r="AZ4" s="4">
        <v>0.16684529185295099</v>
      </c>
      <c r="BA4" s="5">
        <v>3231.1729626286801</v>
      </c>
      <c r="BB4" s="5">
        <v>1416067712</v>
      </c>
      <c r="BC4" s="5">
        <v>16131.1484375</v>
      </c>
      <c r="BD4" s="5">
        <v>17477.926117966701</v>
      </c>
      <c r="BE4" s="5">
        <v>0</v>
      </c>
      <c r="BF4" s="5">
        <v>452.12667615304798</v>
      </c>
      <c r="BG4" s="5">
        <v>0</v>
      </c>
      <c r="BH4" s="1">
        <v>1901.2022081822799</v>
      </c>
      <c r="BI4" s="1">
        <v>6.0224000000000002</v>
      </c>
      <c r="BJ4">
        <v>0.66783400000000004</v>
      </c>
      <c r="BK4">
        <v>7.8056409999999996</v>
      </c>
      <c r="BL4" t="s">
        <v>383</v>
      </c>
      <c r="BM4" t="s">
        <v>382</v>
      </c>
      <c r="BN4">
        <v>0.96099999999999997</v>
      </c>
      <c r="BO4" s="12">
        <v>4.99</v>
      </c>
      <c r="BP4" s="12"/>
      <c r="BQ4">
        <v>5.9</v>
      </c>
      <c r="BR4" s="17">
        <f t="shared" si="1"/>
        <v>0.18236472945891791</v>
      </c>
      <c r="BS4" s="12">
        <v>74.58</v>
      </c>
      <c r="BT4" s="12">
        <v>101.72</v>
      </c>
      <c r="BU4" s="17">
        <f t="shared" si="2"/>
        <v>0.36390453204612494</v>
      </c>
    </row>
    <row r="5" spans="1:73" x14ac:dyDescent="0.25">
      <c r="A5" t="s">
        <v>87</v>
      </c>
      <c r="B5" t="s">
        <v>88</v>
      </c>
      <c r="C5" t="s">
        <v>89</v>
      </c>
      <c r="D5" t="b">
        <v>1</v>
      </c>
      <c r="E5" s="2" t="s">
        <v>90</v>
      </c>
      <c r="F5" s="2">
        <v>45.71</v>
      </c>
      <c r="G5" s="7">
        <v>53.433876222058899</v>
      </c>
      <c r="H5" s="7">
        <v>48.362716896094803</v>
      </c>
      <c r="I5" s="6">
        <v>3.56910655192946</v>
      </c>
      <c r="J5" s="6">
        <v>4.75873493981958</v>
      </c>
      <c r="K5" s="6">
        <v>48</v>
      </c>
      <c r="L5" s="10">
        <v>3</v>
      </c>
      <c r="M5" s="3">
        <v>6</v>
      </c>
      <c r="N5" s="3">
        <v>6.51</v>
      </c>
      <c r="O5" s="3">
        <v>0.83</v>
      </c>
      <c r="P5" s="12">
        <f t="shared" si="0"/>
        <v>5.68</v>
      </c>
      <c r="Q5" s="3">
        <v>-9.4905323822841101E-2</v>
      </c>
      <c r="R5" t="s">
        <v>91</v>
      </c>
      <c r="S5" s="1">
        <v>38.019199999999998</v>
      </c>
      <c r="T5" t="s">
        <v>92</v>
      </c>
      <c r="U5" s="3">
        <v>4.0039999999999996</v>
      </c>
      <c r="V5" s="2">
        <v>49.09</v>
      </c>
      <c r="W5" s="2">
        <v>7.3</v>
      </c>
      <c r="X5" s="2">
        <v>10.81</v>
      </c>
      <c r="Y5" s="3">
        <v>4.0979999999999999</v>
      </c>
      <c r="Z5" s="5">
        <v>2383</v>
      </c>
      <c r="AA5" s="2">
        <v>45.8</v>
      </c>
      <c r="AB5" s="6">
        <v>3.0350000000000001</v>
      </c>
      <c r="AC5" s="5">
        <v>934.51850661239598</v>
      </c>
      <c r="AD5" s="5">
        <v>886.364657427579</v>
      </c>
      <c r="AE5" s="5">
        <v>867.37523983329197</v>
      </c>
      <c r="AF5" s="5">
        <v>2457.9583062147099</v>
      </c>
      <c r="AG5" s="5">
        <v>2224.68497722036</v>
      </c>
      <c r="AH5" s="2">
        <v>8.6651661743673891</v>
      </c>
      <c r="AI5" s="2">
        <v>13.7936546504702</v>
      </c>
      <c r="AJ5" s="2">
        <v>6.1020336448689898</v>
      </c>
      <c r="AK5" s="5">
        <v>11241323927655.1</v>
      </c>
      <c r="AL5" s="5">
        <v>18882331209524.602</v>
      </c>
      <c r="AM5" s="5">
        <v>7680.4970476961998</v>
      </c>
      <c r="AN5" s="5">
        <v>7680.4970476961998</v>
      </c>
      <c r="AO5" s="5">
        <v>13202.905437473701</v>
      </c>
      <c r="AP5" s="5">
        <v>109973.376340106</v>
      </c>
      <c r="AQ5" s="4">
        <v>14.3185233530027</v>
      </c>
      <c r="AR5" s="5">
        <v>1503983488</v>
      </c>
      <c r="AS5" s="5">
        <v>1505251761</v>
      </c>
      <c r="AT5" s="4">
        <v>0.143898043553113</v>
      </c>
      <c r="AU5" s="4">
        <v>0.19868926492925401</v>
      </c>
      <c r="AV5" s="5">
        <v>12367.753554197199</v>
      </c>
      <c r="AW5" s="5">
        <v>677.644322913574</v>
      </c>
      <c r="AX5" s="5">
        <v>7021.4970703125</v>
      </c>
      <c r="AY5" s="5">
        <v>7680.4970476961998</v>
      </c>
      <c r="AZ5" s="4">
        <v>0.108969680964947</v>
      </c>
      <c r="BA5" s="5">
        <v>836.94131293967098</v>
      </c>
      <c r="BB5" s="5">
        <v>1463619328</v>
      </c>
      <c r="BC5" s="5">
        <v>7021.4970703125</v>
      </c>
      <c r="BD5" s="5">
        <v>12098.7566810712</v>
      </c>
      <c r="BE5" s="5">
        <v>0</v>
      </c>
      <c r="BF5" s="5">
        <v>690.89669898608804</v>
      </c>
      <c r="BG5" s="5">
        <v>0</v>
      </c>
      <c r="BH5" s="1">
        <v>1901.2022081822799</v>
      </c>
      <c r="BI5" s="1">
        <v>34.112499999999997</v>
      </c>
      <c r="BJ5">
        <v>0.34371099999999999</v>
      </c>
      <c r="BK5">
        <v>110.61391</v>
      </c>
      <c r="BL5" t="s">
        <v>383</v>
      </c>
      <c r="BM5" t="s">
        <v>382</v>
      </c>
      <c r="BN5">
        <v>1.2370000000000001</v>
      </c>
      <c r="BO5" s="12">
        <v>1.1200000000000001</v>
      </c>
      <c r="BP5" s="12"/>
      <c r="BQ5">
        <v>5.9</v>
      </c>
      <c r="BR5" s="17">
        <f t="shared" si="1"/>
        <v>4.2678571428571423</v>
      </c>
      <c r="BS5" s="12">
        <v>17.079999999999998</v>
      </c>
      <c r="BT5" s="12">
        <v>101.72</v>
      </c>
      <c r="BU5" s="17">
        <f t="shared" si="2"/>
        <v>4.9555035128805622</v>
      </c>
    </row>
    <row r="6" spans="1:73" x14ac:dyDescent="0.25">
      <c r="A6" t="s">
        <v>93</v>
      </c>
      <c r="B6" t="s">
        <v>94</v>
      </c>
      <c r="C6" t="s">
        <v>95</v>
      </c>
      <c r="D6" t="b">
        <v>1</v>
      </c>
      <c r="E6" s="2" t="s">
        <v>73</v>
      </c>
      <c r="F6" s="2">
        <v>36.270000000000003</v>
      </c>
      <c r="G6" s="2">
        <v>39.179237628232798</v>
      </c>
      <c r="H6" s="2">
        <v>33.947205470197801</v>
      </c>
      <c r="I6" s="6">
        <v>1.9038131160604299</v>
      </c>
      <c r="J6" s="6">
        <v>1.89330380206876</v>
      </c>
      <c r="K6" s="6">
        <v>40</v>
      </c>
      <c r="L6" s="10">
        <v>1.5</v>
      </c>
      <c r="M6" s="3">
        <v>3</v>
      </c>
      <c r="N6" s="3">
        <v>1.76</v>
      </c>
      <c r="O6" s="3">
        <v>0.22</v>
      </c>
      <c r="P6" s="12">
        <f t="shared" si="0"/>
        <v>1.54</v>
      </c>
      <c r="Q6" s="3">
        <v>-0.13354093838377301</v>
      </c>
      <c r="R6" t="s">
        <v>96</v>
      </c>
      <c r="S6" s="1">
        <v>1.5889</v>
      </c>
      <c r="T6" t="s">
        <v>97</v>
      </c>
      <c r="U6" s="3">
        <v>1.5640000000000001</v>
      </c>
      <c r="V6" s="2">
        <v>36.590000000000003</v>
      </c>
      <c r="W6" s="2">
        <v>70.040000000000006</v>
      </c>
      <c r="X6" s="2">
        <v>81.8</v>
      </c>
      <c r="Y6" s="3">
        <v>1.5329999999999999</v>
      </c>
      <c r="Z6" s="5">
        <v>1789</v>
      </c>
      <c r="AA6" s="2">
        <v>34.4</v>
      </c>
      <c r="AB6" s="6">
        <v>1.2</v>
      </c>
      <c r="AC6" s="5">
        <v>817.85933897123903</v>
      </c>
      <c r="AD6" s="5">
        <v>815.03719508410404</v>
      </c>
      <c r="AE6" s="5">
        <v>698.42350602803197</v>
      </c>
      <c r="AF6" s="5">
        <v>1802.24493089871</v>
      </c>
      <c r="AG6" s="5">
        <v>1561.5714516291</v>
      </c>
      <c r="AH6" s="2">
        <v>72.749691912866993</v>
      </c>
      <c r="AI6" s="2">
        <v>87.758178276829597</v>
      </c>
      <c r="AJ6" s="2">
        <v>60.245804433700002</v>
      </c>
      <c r="AK6" s="5">
        <v>20589176426982.301</v>
      </c>
      <c r="AL6" s="5">
        <v>22260337190115.898</v>
      </c>
      <c r="AM6" s="5">
        <v>59293.7048398958</v>
      </c>
      <c r="AN6" s="5">
        <v>59293.7048398958</v>
      </c>
      <c r="AO6" s="5">
        <v>72289.129349900904</v>
      </c>
      <c r="AP6" s="5">
        <v>218368.19431562599</v>
      </c>
      <c r="AQ6" s="4">
        <v>3.6828225678469799</v>
      </c>
      <c r="AR6" s="5">
        <v>421035424</v>
      </c>
      <c r="AS6" s="5">
        <v>421278889</v>
      </c>
      <c r="AT6" s="4">
        <v>0.29310938416083598</v>
      </c>
      <c r="AU6" s="4">
        <v>0.30553407068369398</v>
      </c>
      <c r="AV6" s="5">
        <v>61294.499802312799</v>
      </c>
      <c r="AW6" s="5">
        <v>761.56494561910495</v>
      </c>
      <c r="AX6" s="5">
        <v>48887.984375</v>
      </c>
      <c r="AY6" s="5">
        <v>59293.7048398958</v>
      </c>
      <c r="AZ6" s="4">
        <v>0.16749191284179701</v>
      </c>
      <c r="BA6" s="5">
        <v>9931.2160431110606</v>
      </c>
      <c r="BB6" s="5">
        <v>347240512</v>
      </c>
      <c r="BC6" s="5">
        <v>48887.984375</v>
      </c>
      <c r="BD6" s="5">
        <v>48979.343397008801</v>
      </c>
      <c r="BE6" s="5">
        <v>0</v>
      </c>
      <c r="BF6" s="5">
        <v>3309.1713111734698</v>
      </c>
      <c r="BG6" s="5">
        <v>0</v>
      </c>
      <c r="BH6" s="1">
        <v>1901.2022081822799</v>
      </c>
      <c r="BI6" s="1">
        <v>1.6575</v>
      </c>
      <c r="BJ6">
        <v>1.3698159999999999</v>
      </c>
      <c r="BK6">
        <v>1.159921</v>
      </c>
      <c r="BL6" t="s">
        <v>383</v>
      </c>
      <c r="BM6" t="s">
        <v>382</v>
      </c>
      <c r="BN6">
        <v>1.0640000000000001</v>
      </c>
      <c r="BO6" s="12">
        <v>23.27</v>
      </c>
      <c r="BP6" s="12"/>
      <c r="BQ6">
        <v>5.9</v>
      </c>
      <c r="BR6" s="12">
        <f t="shared" si="1"/>
        <v>-0.74645466265577998</v>
      </c>
      <c r="BS6" s="12">
        <v>579.51</v>
      </c>
      <c r="BT6" s="12">
        <v>101.72</v>
      </c>
      <c r="BU6" s="12">
        <f t="shared" si="2"/>
        <v>-0.82447239909578784</v>
      </c>
    </row>
    <row r="7" spans="1:73" x14ac:dyDescent="0.25">
      <c r="A7" t="s">
        <v>98</v>
      </c>
      <c r="B7" t="s">
        <v>99</v>
      </c>
      <c r="C7" t="s">
        <v>100</v>
      </c>
      <c r="D7" t="b">
        <v>1</v>
      </c>
      <c r="E7" s="2" t="s">
        <v>73</v>
      </c>
      <c r="F7" s="2">
        <v>31.87</v>
      </c>
      <c r="G7" s="2">
        <v>36.740865896543298</v>
      </c>
      <c r="H7" s="2">
        <v>32.240345258015097</v>
      </c>
      <c r="I7" s="6">
        <v>0.929381432687304</v>
      </c>
      <c r="J7" s="6">
        <v>1.95744546078946</v>
      </c>
      <c r="K7" s="6">
        <v>40</v>
      </c>
      <c r="L7" s="10">
        <v>1</v>
      </c>
      <c r="M7" s="3">
        <v>2</v>
      </c>
      <c r="N7" s="3">
        <v>1.75</v>
      </c>
      <c r="O7" s="3">
        <v>0.32</v>
      </c>
      <c r="P7" s="12">
        <f t="shared" si="0"/>
        <v>1.43</v>
      </c>
      <c r="Q7" s="3">
        <v>-0.12249359204546099</v>
      </c>
      <c r="R7" t="s">
        <v>101</v>
      </c>
      <c r="S7" s="1">
        <v>1.8537999999999999</v>
      </c>
      <c r="T7" t="s">
        <v>102</v>
      </c>
      <c r="U7" s="3">
        <v>0.90200000000000002</v>
      </c>
      <c r="V7" s="2">
        <v>32.450000000000003</v>
      </c>
      <c r="W7" s="2">
        <v>63.77</v>
      </c>
      <c r="X7" s="2">
        <v>69.760000000000005</v>
      </c>
      <c r="Y7" s="3">
        <v>0.63200000000000001</v>
      </c>
      <c r="Z7" s="5">
        <v>1731</v>
      </c>
      <c r="AA7" s="2">
        <v>33.299999999999997</v>
      </c>
      <c r="AB7" s="6">
        <v>0.106</v>
      </c>
      <c r="AC7" s="5">
        <v>804.93351054080199</v>
      </c>
      <c r="AD7" s="5">
        <v>807.29161088232104</v>
      </c>
      <c r="AE7" s="5">
        <v>689.47651585886194</v>
      </c>
      <c r="AF7" s="5">
        <v>1690.07983124099</v>
      </c>
      <c r="AG7" s="5">
        <v>1483.05588186869</v>
      </c>
      <c r="AH7" s="2">
        <v>56.8301242945548</v>
      </c>
      <c r="AI7" s="2">
        <v>68.987127638003201</v>
      </c>
      <c r="AJ7" s="2">
        <v>51.808675542699902</v>
      </c>
      <c r="AK7" s="5">
        <v>1840990094663.28</v>
      </c>
      <c r="AL7" s="5">
        <v>2040809619152.1101</v>
      </c>
      <c r="AM7" s="5">
        <v>45878.482588393701</v>
      </c>
      <c r="AN7" s="5">
        <v>45878.482588393701</v>
      </c>
      <c r="AO7" s="5">
        <v>55200.499221283702</v>
      </c>
      <c r="AP7" s="5">
        <v>178403.63110747901</v>
      </c>
      <c r="AQ7" s="4">
        <v>3.8886122871162998</v>
      </c>
      <c r="AR7" s="5">
        <v>53612232</v>
      </c>
      <c r="AS7" s="5">
        <v>53612234</v>
      </c>
      <c r="AT7" s="4">
        <v>0.28350625735995599</v>
      </c>
      <c r="AU7" s="4">
        <v>0.29714784197414201</v>
      </c>
      <c r="AV7" s="5">
        <v>46839.829043412603</v>
      </c>
      <c r="AW7" s="5">
        <v>638.96949120971306</v>
      </c>
      <c r="AX7" s="5">
        <v>39126.19140625</v>
      </c>
      <c r="AY7" s="5">
        <v>45878.482588393701</v>
      </c>
      <c r="AZ7" s="4">
        <v>0.144220441579819</v>
      </c>
      <c r="BA7" s="5">
        <v>6616.6150179101596</v>
      </c>
      <c r="BB7" s="5">
        <v>40127528</v>
      </c>
      <c r="BC7" s="5">
        <v>39126.19140625</v>
      </c>
      <c r="BD7" s="5">
        <v>41119.997788572102</v>
      </c>
      <c r="BE7" s="5">
        <v>0</v>
      </c>
      <c r="BF7" s="5">
        <v>915.71613836016195</v>
      </c>
      <c r="BG7" s="5">
        <v>0</v>
      </c>
      <c r="BH7" s="1">
        <v>1901.2022081822799</v>
      </c>
      <c r="BI7" s="1">
        <v>1.9283999999999999</v>
      </c>
      <c r="BJ7">
        <v>1.1507430000000001</v>
      </c>
      <c r="BK7">
        <v>1.6109899999999999</v>
      </c>
      <c r="BL7" t="s">
        <v>383</v>
      </c>
      <c r="BM7" t="s">
        <v>382</v>
      </c>
      <c r="BN7">
        <v>1.0669999999999999</v>
      </c>
      <c r="BO7" s="12">
        <v>17.27</v>
      </c>
      <c r="BP7" s="12"/>
      <c r="BQ7">
        <v>5.9</v>
      </c>
      <c r="BR7" s="12">
        <f t="shared" si="1"/>
        <v>-0.65836711059640995</v>
      </c>
      <c r="BS7" s="12">
        <v>474.21</v>
      </c>
      <c r="BT7" s="12">
        <v>101.72</v>
      </c>
      <c r="BU7" s="12">
        <f t="shared" si="2"/>
        <v>-0.78549587735391491</v>
      </c>
    </row>
    <row r="8" spans="1:73" x14ac:dyDescent="0.25">
      <c r="A8" t="s">
        <v>103</v>
      </c>
      <c r="B8" t="s">
        <v>104</v>
      </c>
      <c r="C8" t="s">
        <v>105</v>
      </c>
      <c r="D8" t="b">
        <v>1</v>
      </c>
      <c r="E8" s="2" t="s">
        <v>73</v>
      </c>
      <c r="F8" s="2">
        <v>29.67</v>
      </c>
      <c r="G8" s="2">
        <v>29.093358612613901</v>
      </c>
      <c r="H8" s="2">
        <v>27.034174722821199</v>
      </c>
      <c r="I8" s="6">
        <v>1.2682529672362699</v>
      </c>
      <c r="J8" s="6">
        <v>2.31857205431742</v>
      </c>
      <c r="K8" s="6">
        <v>40</v>
      </c>
      <c r="L8" s="10">
        <v>1.5</v>
      </c>
      <c r="M8" s="3">
        <v>3</v>
      </c>
      <c r="N8" s="3">
        <v>0.62</v>
      </c>
      <c r="O8" s="3">
        <v>-1</v>
      </c>
      <c r="P8" s="12">
        <f t="shared" si="0"/>
        <v>1.62</v>
      </c>
      <c r="Q8" s="3">
        <v>-7.07784864996618E-2</v>
      </c>
      <c r="R8" t="s">
        <v>74</v>
      </c>
      <c r="S8" s="1">
        <v>1.054</v>
      </c>
      <c r="T8" t="s">
        <v>106</v>
      </c>
      <c r="U8" s="3">
        <v>0.83299999999999996</v>
      </c>
      <c r="V8" s="2">
        <v>30.92</v>
      </c>
      <c r="W8" s="2">
        <v>74.11</v>
      </c>
      <c r="X8" s="2">
        <v>80.52</v>
      </c>
      <c r="Y8" s="3">
        <v>0.78500000000000003</v>
      </c>
      <c r="Z8" s="5">
        <v>1335</v>
      </c>
      <c r="AA8" s="2">
        <v>25.7</v>
      </c>
      <c r="AB8" s="6">
        <v>1.1080000000000001</v>
      </c>
      <c r="AC8" s="5">
        <v>637.09519481271298</v>
      </c>
      <c r="AD8" s="5">
        <v>637.28304727960995</v>
      </c>
      <c r="AE8" s="5">
        <v>555.38843895342598</v>
      </c>
      <c r="AF8" s="5">
        <v>1338.29449618024</v>
      </c>
      <c r="AG8" s="5">
        <v>1243.5720372497699</v>
      </c>
      <c r="AH8" s="2">
        <v>77.204476080515406</v>
      </c>
      <c r="AI8" s="2">
        <v>97.092835776930002</v>
      </c>
      <c r="AJ8" s="2">
        <v>68.062720200962602</v>
      </c>
      <c r="AK8" s="5">
        <v>4136545013874.0098</v>
      </c>
      <c r="AL8" s="5">
        <v>4403811372503.3301</v>
      </c>
      <c r="AM8" s="5">
        <v>49201.103780216603</v>
      </c>
      <c r="AN8" s="5">
        <v>49201.103780216603</v>
      </c>
      <c r="AO8" s="5">
        <v>65667.939496749299</v>
      </c>
      <c r="AP8" s="5">
        <v>230205.52060816699</v>
      </c>
      <c r="AQ8" s="4">
        <v>4.6788690277458898</v>
      </c>
      <c r="AR8" s="5">
        <v>70899864</v>
      </c>
      <c r="AS8" s="5">
        <v>70899863</v>
      </c>
      <c r="AT8" s="4">
        <v>0.25634070121466901</v>
      </c>
      <c r="AU8" s="4">
        <v>0.27697564627939503</v>
      </c>
      <c r="AV8" s="5">
        <v>50857.676853593701</v>
      </c>
      <c r="AW8" s="5">
        <v>1049.44536799349</v>
      </c>
      <c r="AX8" s="5">
        <v>39785.38671875</v>
      </c>
      <c r="AY8" s="5">
        <v>49201.103780216603</v>
      </c>
      <c r="AZ8" s="4">
        <v>0.18240240216255199</v>
      </c>
      <c r="BA8" s="5">
        <v>8974.3995185605199</v>
      </c>
      <c r="BB8" s="5">
        <v>84074232</v>
      </c>
      <c r="BC8" s="5">
        <v>39785.38671875</v>
      </c>
      <c r="BD8" s="5">
        <v>43583.913931531097</v>
      </c>
      <c r="BE8" s="5">
        <v>0</v>
      </c>
      <c r="BF8" s="5">
        <v>1577.83124540116</v>
      </c>
      <c r="BG8" s="5">
        <v>0</v>
      </c>
      <c r="BH8" s="1">
        <v>1901.2022081822799</v>
      </c>
      <c r="BI8" s="1">
        <v>1.1772</v>
      </c>
      <c r="BJ8">
        <v>1.0540389999999999</v>
      </c>
      <c r="BK8">
        <v>1</v>
      </c>
      <c r="BL8" t="s">
        <v>383</v>
      </c>
      <c r="BM8" t="s">
        <v>382</v>
      </c>
      <c r="BN8">
        <v>0.99399999999999999</v>
      </c>
      <c r="BO8" s="12">
        <v>9.2200000000000006</v>
      </c>
      <c r="BP8" s="12" t="s">
        <v>410</v>
      </c>
      <c r="BQ8">
        <v>5.9</v>
      </c>
      <c r="BR8" s="12">
        <f t="shared" si="1"/>
        <v>-0.36008676789587857</v>
      </c>
      <c r="BS8" s="12">
        <v>256.83999999999997</v>
      </c>
      <c r="BT8" s="12">
        <v>101.72</v>
      </c>
      <c r="BU8" s="12">
        <f t="shared" si="2"/>
        <v>-0.60395577012926327</v>
      </c>
    </row>
    <row r="9" spans="1:73" x14ac:dyDescent="0.25">
      <c r="A9" t="s">
        <v>107</v>
      </c>
      <c r="B9" t="s">
        <v>108</v>
      </c>
      <c r="C9" t="s">
        <v>109</v>
      </c>
      <c r="D9" t="b">
        <v>0</v>
      </c>
      <c r="E9" s="2" t="s">
        <v>110</v>
      </c>
      <c r="F9" s="2">
        <v>37.9</v>
      </c>
      <c r="G9" s="2">
        <v>0</v>
      </c>
      <c r="H9" s="2"/>
      <c r="I9" s="6"/>
      <c r="J9" s="6"/>
      <c r="K9" s="6">
        <v>40</v>
      </c>
      <c r="L9" s="3">
        <v>1.5</v>
      </c>
      <c r="M9" s="3">
        <v>3</v>
      </c>
      <c r="N9" s="3">
        <v>2.8</v>
      </c>
      <c r="O9" s="3">
        <v>0.8</v>
      </c>
      <c r="P9" s="12">
        <f t="shared" si="0"/>
        <v>1.9999999999999998</v>
      </c>
      <c r="Q9" s="3"/>
      <c r="R9" t="s">
        <v>111</v>
      </c>
      <c r="S9" s="1">
        <v>2.7988</v>
      </c>
      <c r="T9" t="s">
        <v>112</v>
      </c>
      <c r="U9" s="3">
        <v>1.1970000000000001</v>
      </c>
      <c r="V9" s="2">
        <v>38.6</v>
      </c>
      <c r="W9" s="2">
        <v>13.61</v>
      </c>
      <c r="X9" s="2">
        <v>15.33</v>
      </c>
      <c r="Y9" s="3">
        <v>1.288</v>
      </c>
      <c r="Z9" s="5">
        <v>2143</v>
      </c>
      <c r="AA9" s="2">
        <v>41.2</v>
      </c>
      <c r="AB9" s="6">
        <v>6.8000000000000005E-2</v>
      </c>
      <c r="AC9" s="5"/>
      <c r="AD9" s="5"/>
      <c r="AE9" s="5"/>
      <c r="AF9" s="5"/>
      <c r="AG9" s="5"/>
      <c r="AH9" s="2"/>
      <c r="AI9" s="2"/>
      <c r="AJ9" s="2"/>
      <c r="AK9" s="5"/>
      <c r="AL9" s="5"/>
      <c r="AM9" s="5"/>
      <c r="AN9" s="5"/>
      <c r="AO9" s="5"/>
      <c r="AP9" s="5"/>
      <c r="AQ9" s="4"/>
      <c r="AR9" s="5"/>
      <c r="AS9" s="5"/>
      <c r="AT9" s="4"/>
      <c r="AU9" s="4"/>
      <c r="AV9" s="5"/>
      <c r="AW9" s="5"/>
      <c r="AX9" s="5"/>
      <c r="AY9" s="5"/>
      <c r="AZ9" s="4"/>
      <c r="BA9" s="5"/>
      <c r="BB9" s="5"/>
      <c r="BC9" s="5"/>
      <c r="BD9" s="5"/>
      <c r="BE9" s="5"/>
      <c r="BF9" s="5"/>
      <c r="BG9" s="5">
        <v>0</v>
      </c>
      <c r="BH9" s="1">
        <v>1901.2022081822799</v>
      </c>
      <c r="BI9" s="1">
        <v>2.8986999999999998</v>
      </c>
      <c r="BJ9">
        <v>0.71886000000000005</v>
      </c>
      <c r="BK9">
        <v>3.8934039999999999</v>
      </c>
      <c r="BL9" t="s">
        <v>383</v>
      </c>
      <c r="BM9" t="s">
        <v>382</v>
      </c>
      <c r="BN9">
        <v>1.0720000000000001</v>
      </c>
      <c r="BO9" s="12">
        <v>3.88</v>
      </c>
      <c r="BP9" s="12"/>
      <c r="BQ9">
        <v>5.9</v>
      </c>
      <c r="BR9" s="17">
        <f t="shared" si="1"/>
        <v>0.52061855670103108</v>
      </c>
      <c r="BS9" s="12">
        <v>77.349999999999994</v>
      </c>
      <c r="BT9" s="12">
        <v>101.72</v>
      </c>
      <c r="BU9" s="17">
        <f t="shared" si="2"/>
        <v>0.31506140917905623</v>
      </c>
    </row>
    <row r="10" spans="1:73" x14ac:dyDescent="0.25">
      <c r="A10" t="s">
        <v>113</v>
      </c>
      <c r="B10" t="s">
        <v>114</v>
      </c>
      <c r="C10" t="s">
        <v>115</v>
      </c>
      <c r="D10" t="b">
        <v>1</v>
      </c>
      <c r="E10" s="2" t="s">
        <v>73</v>
      </c>
      <c r="F10" s="2">
        <v>31.1</v>
      </c>
      <c r="G10" s="2">
        <v>38.9246851879617</v>
      </c>
      <c r="H10" s="2">
        <v>34.112729857071599</v>
      </c>
      <c r="I10" s="6">
        <v>1.04869007586414</v>
      </c>
      <c r="J10" s="6">
        <v>3.2899020446028699</v>
      </c>
      <c r="K10" s="6">
        <v>40</v>
      </c>
      <c r="L10" s="10">
        <v>1.5</v>
      </c>
      <c r="M10" s="3">
        <v>3</v>
      </c>
      <c r="N10" s="3">
        <v>0.61</v>
      </c>
      <c r="O10" s="3">
        <v>-0.7</v>
      </c>
      <c r="P10" s="12">
        <f t="shared" si="0"/>
        <v>1.31</v>
      </c>
      <c r="Q10" s="3">
        <v>-0.123622202919661</v>
      </c>
      <c r="R10" t="s">
        <v>116</v>
      </c>
      <c r="S10" s="1">
        <v>147.70920000000001</v>
      </c>
      <c r="T10" t="s">
        <v>117</v>
      </c>
      <c r="U10" s="3">
        <v>0.46500000000000002</v>
      </c>
      <c r="V10" s="2">
        <v>33.06</v>
      </c>
      <c r="W10" s="2">
        <v>50.32</v>
      </c>
      <c r="X10" s="2">
        <v>52.71</v>
      </c>
      <c r="Y10" s="3">
        <v>0.53900000000000003</v>
      </c>
      <c r="Z10" s="5">
        <v>1654</v>
      </c>
      <c r="AA10" s="2">
        <v>31.8</v>
      </c>
      <c r="AB10" s="6">
        <v>-0.378</v>
      </c>
      <c r="AC10" s="5">
        <v>814.98089251444298</v>
      </c>
      <c r="AD10" s="5">
        <v>821.44844917250498</v>
      </c>
      <c r="AE10" s="5">
        <v>703.26175137918301</v>
      </c>
      <c r="AF10" s="5">
        <v>1790.53551864624</v>
      </c>
      <c r="AG10" s="5">
        <v>1569.1855734252899</v>
      </c>
      <c r="AH10" s="2">
        <v>44.732766085378998</v>
      </c>
      <c r="AI10" s="2">
        <v>61.830735059959103</v>
      </c>
      <c r="AJ10" s="2">
        <v>40.301283160000899</v>
      </c>
      <c r="AK10" s="5">
        <v>4523609325691.5498</v>
      </c>
      <c r="AL10" s="5">
        <v>5038614412426.2305</v>
      </c>
      <c r="AM10" s="5">
        <v>36745.661328030998</v>
      </c>
      <c r="AN10" s="5">
        <v>36745.661328030998</v>
      </c>
      <c r="AO10" s="5">
        <v>52904.025354311001</v>
      </c>
      <c r="AP10" s="5">
        <v>193934.37562362</v>
      </c>
      <c r="AQ10" s="4">
        <v>5.27774895360721</v>
      </c>
      <c r="AR10" s="5">
        <v>76847520</v>
      </c>
      <c r="AS10" s="5">
        <v>76845989</v>
      </c>
      <c r="AT10" s="4">
        <v>0.23943568784183</v>
      </c>
      <c r="AU10" s="4">
        <v>0.259277798545898</v>
      </c>
      <c r="AV10" s="5">
        <v>41635.504435551702</v>
      </c>
      <c r="AW10" s="5">
        <v>826.13628822993599</v>
      </c>
      <c r="AX10" s="5">
        <v>28518.755859375</v>
      </c>
      <c r="AY10" s="5">
        <v>36745.661328030998</v>
      </c>
      <c r="AZ10" s="4">
        <v>0.21639914810657501</v>
      </c>
      <c r="BA10" s="5">
        <v>7951.7298079986303</v>
      </c>
      <c r="BB10" s="5">
        <v>123105944</v>
      </c>
      <c r="BC10" s="5">
        <v>28518.755859375</v>
      </c>
      <c r="BD10" s="5">
        <v>34829.072256248299</v>
      </c>
      <c r="BE10" s="5">
        <v>0</v>
      </c>
      <c r="BF10" s="5">
        <v>1401.09088943401</v>
      </c>
      <c r="BG10" s="5">
        <v>0</v>
      </c>
      <c r="BH10" s="1">
        <v>1901.2022081822799</v>
      </c>
      <c r="BI10" s="1">
        <v>153.48949999999999</v>
      </c>
      <c r="BJ10">
        <v>0.79593400000000003</v>
      </c>
      <c r="BK10">
        <v>185.57970800000001</v>
      </c>
      <c r="BL10" t="s">
        <v>383</v>
      </c>
      <c r="BM10" t="s">
        <v>382</v>
      </c>
      <c r="BN10">
        <v>1.0680000000000001</v>
      </c>
      <c r="BO10" s="12">
        <v>7.05</v>
      </c>
      <c r="BP10" s="12"/>
      <c r="BQ10">
        <v>5.9</v>
      </c>
      <c r="BR10" s="12">
        <f t="shared" si="1"/>
        <v>-0.16312056737588643</v>
      </c>
      <c r="BS10" s="12">
        <v>221.34</v>
      </c>
      <c r="BT10" s="12">
        <v>101.72</v>
      </c>
      <c r="BU10" s="12">
        <f t="shared" si="2"/>
        <v>-0.54043552905032977</v>
      </c>
    </row>
    <row r="11" spans="1:73" x14ac:dyDescent="0.25">
      <c r="A11" t="s">
        <v>118</v>
      </c>
      <c r="B11" t="s">
        <v>119</v>
      </c>
      <c r="C11" t="s">
        <v>120</v>
      </c>
      <c r="D11" t="b">
        <v>1</v>
      </c>
      <c r="E11" s="2" t="s">
        <v>121</v>
      </c>
      <c r="F11" s="2">
        <v>31.29</v>
      </c>
      <c r="G11" s="2">
        <v>38.712597409182202</v>
      </c>
      <c r="H11" s="2">
        <v>33.620557316862403</v>
      </c>
      <c r="I11" s="6">
        <v>0.44075633648978901</v>
      </c>
      <c r="J11" s="6">
        <v>0.797497856105012</v>
      </c>
      <c r="K11" s="6">
        <v>38</v>
      </c>
      <c r="L11" s="10">
        <v>1</v>
      </c>
      <c r="M11" s="3">
        <v>2</v>
      </c>
      <c r="N11" s="3">
        <v>2.33</v>
      </c>
      <c r="O11" s="3">
        <v>0.63</v>
      </c>
      <c r="P11" s="12">
        <f t="shared" si="0"/>
        <v>1.7000000000000002</v>
      </c>
      <c r="Q11" s="3">
        <v>-0.131534447004375</v>
      </c>
      <c r="R11" t="s">
        <v>122</v>
      </c>
      <c r="S11" s="1">
        <v>2.0869</v>
      </c>
      <c r="T11" t="s">
        <v>123</v>
      </c>
      <c r="U11" s="3">
        <v>0.71199999999999997</v>
      </c>
      <c r="V11" s="2">
        <v>32.119999999999997</v>
      </c>
      <c r="W11" s="2">
        <v>66.89</v>
      </c>
      <c r="X11" s="2">
        <v>71.81</v>
      </c>
      <c r="Y11" s="3">
        <v>0.63800000000000001</v>
      </c>
      <c r="Z11" s="5">
        <v>1611</v>
      </c>
      <c r="AA11" s="2">
        <v>31</v>
      </c>
      <c r="AB11" s="6">
        <v>1.012</v>
      </c>
      <c r="AC11" s="5">
        <v>864.03480610869599</v>
      </c>
      <c r="AD11" s="5">
        <v>866.29912732300204</v>
      </c>
      <c r="AE11" s="5">
        <v>738.26668559880704</v>
      </c>
      <c r="AF11" s="5">
        <v>1780.77948082238</v>
      </c>
      <c r="AG11" s="5">
        <v>1546.54563657567</v>
      </c>
      <c r="AH11" s="2">
        <v>58.720974900046699</v>
      </c>
      <c r="AI11" s="2">
        <v>63.575644668474801</v>
      </c>
      <c r="AJ11" s="2">
        <v>56.194461467421696</v>
      </c>
      <c r="AK11" s="5">
        <v>1372180530746.5701</v>
      </c>
      <c r="AL11" s="5">
        <v>1375079719598.6101</v>
      </c>
      <c r="AM11" s="5">
        <v>50869.929311466403</v>
      </c>
      <c r="AN11" s="5">
        <v>50869.929311466403</v>
      </c>
      <c r="AO11" s="5">
        <v>54347.544283318202</v>
      </c>
      <c r="AP11" s="5">
        <v>172554.07082859901</v>
      </c>
      <c r="AQ11" s="4">
        <v>3.3920642934666798</v>
      </c>
      <c r="AR11" s="5">
        <v>43142392</v>
      </c>
      <c r="AS11" s="5">
        <v>43143685</v>
      </c>
      <c r="AT11" s="4">
        <v>0.29417929619480998</v>
      </c>
      <c r="AU11" s="4">
        <v>0.30601236443506402</v>
      </c>
      <c r="AV11" s="5">
        <v>48464.614207325802</v>
      </c>
      <c r="AW11" s="5">
        <v>573.48508715287699</v>
      </c>
      <c r="AX11" s="5">
        <v>42366.1484375</v>
      </c>
      <c r="AY11" s="5">
        <v>50869.929311466403</v>
      </c>
      <c r="AZ11" s="4">
        <v>0.16548590362071999</v>
      </c>
      <c r="BA11" s="5">
        <v>8418.2562192301593</v>
      </c>
      <c r="BB11" s="5">
        <v>26974296</v>
      </c>
      <c r="BC11" s="5">
        <v>42366.1484375</v>
      </c>
      <c r="BD11" s="5">
        <v>39307.517454978501</v>
      </c>
      <c r="BE11" s="5">
        <v>0</v>
      </c>
      <c r="BF11" s="5">
        <v>853.38397195378604</v>
      </c>
      <c r="BG11" s="5">
        <v>0</v>
      </c>
      <c r="BH11" s="1">
        <v>1901.2022081822799</v>
      </c>
      <c r="BI11" s="1">
        <v>2.3450000000000002</v>
      </c>
      <c r="BJ11">
        <v>1.289309</v>
      </c>
      <c r="BK11">
        <v>1.6186430000000001</v>
      </c>
      <c r="BL11" t="s">
        <v>383</v>
      </c>
      <c r="BM11" t="s">
        <v>382</v>
      </c>
      <c r="BN11">
        <v>0.98799999999999999</v>
      </c>
      <c r="BO11" s="12">
        <v>23.01</v>
      </c>
      <c r="BP11" s="12"/>
      <c r="BQ11">
        <v>5.9</v>
      </c>
      <c r="BR11" s="12">
        <f t="shared" si="1"/>
        <v>-0.74358974358974361</v>
      </c>
      <c r="BS11" s="12">
        <v>759.01</v>
      </c>
      <c r="BT11" s="12">
        <v>101.72</v>
      </c>
      <c r="BU11" s="12">
        <f t="shared" si="2"/>
        <v>-0.86598332037786063</v>
      </c>
    </row>
    <row r="12" spans="1:73" x14ac:dyDescent="0.25">
      <c r="A12" t="s">
        <v>124</v>
      </c>
      <c r="B12" t="s">
        <v>125</v>
      </c>
      <c r="C12" t="s">
        <v>126</v>
      </c>
      <c r="D12" t="b">
        <v>1</v>
      </c>
      <c r="E12" s="2" t="s">
        <v>73</v>
      </c>
      <c r="F12" s="2">
        <v>37.29</v>
      </c>
      <c r="G12" s="2">
        <v>41.181762337222999</v>
      </c>
      <c r="H12" s="2">
        <v>35.737825404539798</v>
      </c>
      <c r="I12" s="6">
        <v>3.3446740930074501</v>
      </c>
      <c r="J12" s="6">
        <v>3.5538121853491398</v>
      </c>
      <c r="K12" s="6">
        <v>40</v>
      </c>
      <c r="L12" s="10">
        <v>1.5</v>
      </c>
      <c r="M12" s="3">
        <v>3</v>
      </c>
      <c r="N12" s="3">
        <v>1.89</v>
      </c>
      <c r="O12" s="3">
        <v>-1.1299999999999999</v>
      </c>
      <c r="P12" s="12">
        <f t="shared" si="0"/>
        <v>3.0199999999999996</v>
      </c>
      <c r="Q12" s="3">
        <v>-0.13219290830986699</v>
      </c>
      <c r="R12" t="s">
        <v>127</v>
      </c>
      <c r="S12" s="1">
        <v>1243.7489</v>
      </c>
      <c r="T12" t="s">
        <v>128</v>
      </c>
      <c r="U12" s="3">
        <v>2.8239999999999998</v>
      </c>
      <c r="V12" s="2">
        <v>43.27</v>
      </c>
      <c r="W12" s="2">
        <v>36.28</v>
      </c>
      <c r="X12" s="2">
        <v>47.93</v>
      </c>
      <c r="Y12" s="3">
        <v>2.9319999999999999</v>
      </c>
      <c r="Z12" s="5">
        <v>1910</v>
      </c>
      <c r="AA12" s="2">
        <v>36.700000000000003</v>
      </c>
      <c r="AB12" s="6">
        <v>3.3879999999999999</v>
      </c>
      <c r="AC12" s="5">
        <v>833.62345933767801</v>
      </c>
      <c r="AD12" s="5">
        <v>894.71548751794501</v>
      </c>
      <c r="AE12" s="5">
        <v>718.08515302110902</v>
      </c>
      <c r="AF12" s="5">
        <v>1894.36106751226</v>
      </c>
      <c r="AG12" s="5">
        <v>1643.93996860883</v>
      </c>
      <c r="AH12" s="2">
        <v>46.590612924584001</v>
      </c>
      <c r="AI12" s="2">
        <v>66.063159228978805</v>
      </c>
      <c r="AJ12" s="2">
        <v>33.528754722068101</v>
      </c>
      <c r="AK12" s="5">
        <v>2153779458105.51</v>
      </c>
      <c r="AL12" s="5">
        <v>2386239016912.7798</v>
      </c>
      <c r="AM12" s="5">
        <v>41685.342956579101</v>
      </c>
      <c r="AN12" s="5">
        <v>41685.342956579101</v>
      </c>
      <c r="AO12" s="5">
        <v>57630.739139654303</v>
      </c>
      <c r="AP12" s="5">
        <v>202940.674371317</v>
      </c>
      <c r="AQ12" s="4">
        <v>4.8683940199966003</v>
      </c>
      <c r="AR12" s="5">
        <v>21848354</v>
      </c>
      <c r="AS12" s="5">
        <v>21848791</v>
      </c>
      <c r="AT12" s="4">
        <v>0.25727484692198199</v>
      </c>
      <c r="AU12" s="4">
        <v>0.274030170439647</v>
      </c>
      <c r="AV12" s="5">
        <v>43598.945817994398</v>
      </c>
      <c r="AW12" s="5">
        <v>730.51444220964402</v>
      </c>
      <c r="AX12" s="5">
        <v>32893.5078125</v>
      </c>
      <c r="AY12" s="5">
        <v>41685.342956579101</v>
      </c>
      <c r="AZ12" s="4">
        <v>0.204599618911743</v>
      </c>
      <c r="BA12" s="5">
        <v>8528.8052831213899</v>
      </c>
      <c r="BB12" s="5">
        <v>51667548</v>
      </c>
      <c r="BC12" s="5">
        <v>32893.5078125</v>
      </c>
      <c r="BD12" s="5">
        <v>38293.950473717603</v>
      </c>
      <c r="BE12" s="5">
        <v>0</v>
      </c>
      <c r="BF12" s="5">
        <v>1448.7947032146601</v>
      </c>
      <c r="BG12" s="5">
        <v>0</v>
      </c>
      <c r="BH12" s="1">
        <v>1901.2022081822799</v>
      </c>
      <c r="BI12" s="1">
        <v>1277.5752</v>
      </c>
      <c r="BJ12">
        <v>0.77811900000000001</v>
      </c>
      <c r="BK12">
        <v>1598.404538</v>
      </c>
      <c r="BL12" t="s">
        <v>383</v>
      </c>
      <c r="BM12" t="s">
        <v>382</v>
      </c>
      <c r="BN12">
        <v>1.081</v>
      </c>
      <c r="BO12" s="12">
        <v>12.28</v>
      </c>
      <c r="BP12" s="12"/>
      <c r="BQ12">
        <v>5.9</v>
      </c>
      <c r="BR12" s="12">
        <f t="shared" si="1"/>
        <v>-0.51954397394136809</v>
      </c>
      <c r="BS12" s="12">
        <v>285.36</v>
      </c>
      <c r="BT12" s="12">
        <v>101.72</v>
      </c>
      <c r="BU12" s="12">
        <f t="shared" si="2"/>
        <v>-0.643537987104009</v>
      </c>
    </row>
    <row r="13" spans="1:73" x14ac:dyDescent="0.25">
      <c r="A13" t="s">
        <v>129</v>
      </c>
      <c r="B13" t="s">
        <v>130</v>
      </c>
      <c r="C13" t="s">
        <v>131</v>
      </c>
      <c r="D13" t="b">
        <v>1</v>
      </c>
      <c r="E13" s="2" t="s">
        <v>73</v>
      </c>
      <c r="F13" s="2">
        <v>37.590000000000003</v>
      </c>
      <c r="G13" s="2">
        <v>42.084108807805897</v>
      </c>
      <c r="H13" s="2">
        <v>38.828912268122103</v>
      </c>
      <c r="I13" s="6">
        <v>3.3435359346261699</v>
      </c>
      <c r="J13" s="6">
        <v>4.05749587192585</v>
      </c>
      <c r="K13" s="6">
        <v>40</v>
      </c>
      <c r="L13" s="10">
        <v>3</v>
      </c>
      <c r="M13" s="3">
        <v>6</v>
      </c>
      <c r="N13" s="3">
        <v>5.23</v>
      </c>
      <c r="O13" s="3">
        <v>0.57999999999999996</v>
      </c>
      <c r="P13" s="12">
        <f t="shared" si="0"/>
        <v>4.6500000000000004</v>
      </c>
      <c r="Q13" s="3">
        <v>-7.7349779570002095E-2</v>
      </c>
      <c r="R13" t="s">
        <v>132</v>
      </c>
      <c r="S13" s="1">
        <v>8170.2057999999997</v>
      </c>
      <c r="T13" t="s">
        <v>133</v>
      </c>
      <c r="U13" s="3">
        <v>3.012</v>
      </c>
      <c r="V13" s="2">
        <v>39.270000000000003</v>
      </c>
      <c r="W13" s="2">
        <v>11.49</v>
      </c>
      <c r="X13" s="2">
        <v>15.46</v>
      </c>
      <c r="Y13" s="3">
        <v>2.8639999999999999</v>
      </c>
      <c r="Z13" s="5">
        <v>1958</v>
      </c>
      <c r="AA13" s="2">
        <v>37.700000000000003</v>
      </c>
      <c r="AB13" s="6">
        <v>1.028</v>
      </c>
      <c r="AC13" s="5">
        <v>909.76865721351999</v>
      </c>
      <c r="AD13" s="5">
        <v>878.90588982679606</v>
      </c>
      <c r="AE13" s="5">
        <v>835.70690625759903</v>
      </c>
      <c r="AF13" s="5">
        <v>1935.86900515907</v>
      </c>
      <c r="AG13" s="5">
        <v>1786.1299643336199</v>
      </c>
      <c r="AH13" s="2">
        <v>13.4629336230972</v>
      </c>
      <c r="AI13" s="2">
        <v>20.038878364130198</v>
      </c>
      <c r="AJ13" s="2">
        <v>9.6896152929260193</v>
      </c>
      <c r="AK13" s="5">
        <v>3379665820523.1602</v>
      </c>
      <c r="AL13" s="5">
        <v>5077485752257.8203</v>
      </c>
      <c r="AM13" s="5">
        <v>11832.651655687399</v>
      </c>
      <c r="AN13" s="5">
        <v>11832.651655687399</v>
      </c>
      <c r="AO13" s="5">
        <v>19618.481488053501</v>
      </c>
      <c r="AP13" s="5">
        <v>166775.267043019</v>
      </c>
      <c r="AQ13" s="4">
        <v>14.094496474326499</v>
      </c>
      <c r="AR13" s="5">
        <v>290160800</v>
      </c>
      <c r="AS13" s="5">
        <v>295511061</v>
      </c>
      <c r="AT13" s="4">
        <v>0.12060543530859701</v>
      </c>
      <c r="AU13" s="4">
        <v>0.17160070395660401</v>
      </c>
      <c r="AV13" s="5">
        <v>17430.074464941099</v>
      </c>
      <c r="AW13" s="5">
        <v>888.85132989444003</v>
      </c>
      <c r="AX13" s="5">
        <v>9346.056640625</v>
      </c>
      <c r="AY13" s="5">
        <v>11832.651655687399</v>
      </c>
      <c r="AZ13" s="4">
        <v>0.20734852552413899</v>
      </c>
      <c r="BA13" s="5">
        <v>2453.4828738475398</v>
      </c>
      <c r="BB13" s="5">
        <v>285622016</v>
      </c>
      <c r="BC13" s="5">
        <v>9346.056640625</v>
      </c>
      <c r="BD13" s="5">
        <v>14443.212744402599</v>
      </c>
      <c r="BE13" s="5">
        <v>0</v>
      </c>
      <c r="BF13" s="5">
        <v>366.571495029652</v>
      </c>
      <c r="BG13" s="5">
        <v>0</v>
      </c>
      <c r="BH13" s="1">
        <v>1901.2022081822799</v>
      </c>
      <c r="BI13" s="1">
        <v>7991.8899000000001</v>
      </c>
      <c r="BJ13">
        <v>0.39812999999999998</v>
      </c>
      <c r="BK13">
        <v>20521.452298</v>
      </c>
      <c r="BL13" t="s">
        <v>383</v>
      </c>
      <c r="BM13" t="s">
        <v>382</v>
      </c>
      <c r="BN13">
        <v>1.135</v>
      </c>
      <c r="BO13" s="12">
        <v>1.67</v>
      </c>
      <c r="BP13" s="12"/>
      <c r="BQ13">
        <v>5.9</v>
      </c>
      <c r="BR13" s="17">
        <f t="shared" si="1"/>
        <v>2.5329341317365275</v>
      </c>
      <c r="BS13" s="12">
        <v>37.299999999999997</v>
      </c>
      <c r="BT13" s="12">
        <v>101.72</v>
      </c>
      <c r="BU13" s="17">
        <f t="shared" si="2"/>
        <v>1.7270777479892763</v>
      </c>
    </row>
    <row r="14" spans="1:73" x14ac:dyDescent="0.25">
      <c r="A14" t="s">
        <v>134</v>
      </c>
      <c r="B14" t="s">
        <v>135</v>
      </c>
      <c r="C14" t="s">
        <v>136</v>
      </c>
      <c r="D14" t="b">
        <v>1</v>
      </c>
      <c r="E14" s="2" t="s">
        <v>137</v>
      </c>
      <c r="F14" s="2">
        <v>41.06</v>
      </c>
      <c r="G14" s="7">
        <v>46.756098361689602</v>
      </c>
      <c r="H14" s="7">
        <v>43.754062210460802</v>
      </c>
      <c r="I14" s="6">
        <v>-0.86762941044618003</v>
      </c>
      <c r="J14" s="6">
        <v>3.57953173797778</v>
      </c>
      <c r="K14" s="6">
        <v>45</v>
      </c>
      <c r="L14" s="10">
        <v>1.5</v>
      </c>
      <c r="M14" s="3">
        <v>3</v>
      </c>
      <c r="N14" s="3">
        <v>1.81</v>
      </c>
      <c r="O14" s="3">
        <v>0.86</v>
      </c>
      <c r="P14" s="12">
        <f t="shared" si="0"/>
        <v>0.95000000000000007</v>
      </c>
      <c r="Q14" s="3">
        <v>-6.42063015610502E-2</v>
      </c>
      <c r="R14" t="s">
        <v>138</v>
      </c>
      <c r="S14" s="1">
        <v>10.519500000000001</v>
      </c>
      <c r="T14" t="s">
        <v>139</v>
      </c>
      <c r="U14" s="3">
        <v>0.186</v>
      </c>
      <c r="V14" s="2">
        <v>42.64</v>
      </c>
      <c r="W14" s="2">
        <v>22.42</v>
      </c>
      <c r="X14" s="2">
        <v>22.84</v>
      </c>
      <c r="Y14" s="3">
        <v>-0.32800000000000001</v>
      </c>
      <c r="Z14" s="5">
        <v>2181</v>
      </c>
      <c r="AA14" s="2">
        <v>42</v>
      </c>
      <c r="AB14" s="6">
        <v>-1.6359999999999999</v>
      </c>
      <c r="AC14" s="5">
        <v>642.37944156038702</v>
      </c>
      <c r="AD14" s="5">
        <v>560.12933426654297</v>
      </c>
      <c r="AE14" s="5">
        <v>606.80665964050297</v>
      </c>
      <c r="AF14" s="5">
        <v>2150.7805246377202</v>
      </c>
      <c r="AG14" s="5">
        <v>2012.6868616812001</v>
      </c>
      <c r="AH14" s="2">
        <v>18.957340694117701</v>
      </c>
      <c r="AI14" s="2">
        <v>26.947398725477999</v>
      </c>
      <c r="AJ14" s="2">
        <v>20.683426989365501</v>
      </c>
      <c r="AK14" s="5">
        <v>686970457315.08997</v>
      </c>
      <c r="AL14" s="5">
        <v>1148443262819.53</v>
      </c>
      <c r="AM14" s="5">
        <v>10618.5626224602</v>
      </c>
      <c r="AN14" s="5">
        <v>10618.5626224602</v>
      </c>
      <c r="AO14" s="5">
        <v>17274.056498817499</v>
      </c>
      <c r="AP14" s="5">
        <v>81756.839445720398</v>
      </c>
      <c r="AQ14" s="4">
        <v>7.6994262173290799</v>
      </c>
      <c r="AR14" s="5">
        <v>84988368</v>
      </c>
      <c r="AS14" s="5">
        <v>94314448</v>
      </c>
      <c r="AT14" s="4">
        <v>0.262359408019886</v>
      </c>
      <c r="AU14" s="4">
        <v>0.30074175560258798</v>
      </c>
      <c r="AV14" s="5">
        <v>17135.8637760253</v>
      </c>
      <c r="AW14" s="5">
        <v>657.71467958122605</v>
      </c>
      <c r="AX14" s="5">
        <v>9045.2373046875</v>
      </c>
      <c r="AY14" s="5">
        <v>10618.5626224602</v>
      </c>
      <c r="AZ14" s="4">
        <v>0.13878238201141399</v>
      </c>
      <c r="BA14" s="5">
        <v>1473.6694142823801</v>
      </c>
      <c r="BB14" s="5">
        <v>64695240</v>
      </c>
      <c r="BC14" s="5">
        <v>9045.2373046875</v>
      </c>
      <c r="BD14" s="5">
        <v>15350.2985392754</v>
      </c>
      <c r="BE14" s="5">
        <v>0</v>
      </c>
      <c r="BF14" s="5">
        <v>623.59702828187801</v>
      </c>
      <c r="BG14" s="5">
        <v>0</v>
      </c>
      <c r="BH14" s="1">
        <v>1901.2022081822799</v>
      </c>
      <c r="BI14" s="1">
        <v>12.067</v>
      </c>
      <c r="BJ14">
        <v>0.56303899999999996</v>
      </c>
      <c r="BK14">
        <v>18.683454999999999</v>
      </c>
      <c r="BL14" t="s">
        <v>383</v>
      </c>
      <c r="BM14" t="s">
        <v>382</v>
      </c>
      <c r="BN14">
        <v>0.96799999999999997</v>
      </c>
      <c r="BO14" s="12">
        <v>10.16</v>
      </c>
      <c r="BP14" s="12"/>
      <c r="BQ14">
        <v>5.9</v>
      </c>
      <c r="BR14" s="12">
        <f t="shared" si="1"/>
        <v>-0.41929133858267709</v>
      </c>
      <c r="BS14" s="12">
        <v>72.17</v>
      </c>
      <c r="BT14" s="12">
        <v>101.72</v>
      </c>
      <c r="BU14" s="17">
        <f t="shared" si="2"/>
        <v>0.40944990993487584</v>
      </c>
    </row>
    <row r="15" spans="1:73" x14ac:dyDescent="0.25">
      <c r="A15" t="s">
        <v>140</v>
      </c>
      <c r="B15" t="s">
        <v>141</v>
      </c>
      <c r="C15" t="s">
        <v>142</v>
      </c>
      <c r="D15" t="b">
        <v>1</v>
      </c>
      <c r="E15" s="2" t="s">
        <v>137</v>
      </c>
      <c r="F15" s="2">
        <v>42.74</v>
      </c>
      <c r="G15" s="7">
        <v>48.0062194378228</v>
      </c>
      <c r="H15" s="7">
        <v>40.651434516971598</v>
      </c>
      <c r="I15" s="6">
        <v>3.59656889675917</v>
      </c>
      <c r="J15" s="6">
        <v>2.9776228769282702</v>
      </c>
      <c r="K15" s="6">
        <v>45</v>
      </c>
      <c r="L15" s="10">
        <v>2</v>
      </c>
      <c r="M15" s="3">
        <v>4</v>
      </c>
      <c r="N15" s="3">
        <v>4.0199999999999996</v>
      </c>
      <c r="O15" s="3">
        <v>0.3</v>
      </c>
      <c r="P15" s="12">
        <f t="shared" si="0"/>
        <v>3.7199999999999998</v>
      </c>
      <c r="Q15" s="3">
        <v>-0.153204834852223</v>
      </c>
      <c r="R15" t="s">
        <v>143</v>
      </c>
      <c r="S15" s="1">
        <v>29.6052</v>
      </c>
      <c r="T15" t="s">
        <v>144</v>
      </c>
      <c r="U15" s="3">
        <v>2.819</v>
      </c>
      <c r="V15" s="2">
        <v>44.59</v>
      </c>
      <c r="W15" s="2">
        <v>30.98</v>
      </c>
      <c r="X15" s="2">
        <v>40.909999999999997</v>
      </c>
      <c r="Y15" s="3">
        <v>2.8929999999999998</v>
      </c>
      <c r="Z15" s="5">
        <v>1747</v>
      </c>
      <c r="AA15" s="2">
        <v>33.6</v>
      </c>
      <c r="AB15" s="6">
        <v>2.9380000000000002</v>
      </c>
      <c r="AC15" s="5">
        <v>823.978848277221</v>
      </c>
      <c r="AD15" s="5">
        <v>773.29803790251799</v>
      </c>
      <c r="AE15" s="5">
        <v>706.62788058624801</v>
      </c>
      <c r="AF15" s="5">
        <v>2208.2860941398499</v>
      </c>
      <c r="AG15" s="5">
        <v>1869.9659877806901</v>
      </c>
      <c r="AH15" s="2">
        <v>36.869209804460198</v>
      </c>
      <c r="AI15" s="2">
        <v>49.441592838803302</v>
      </c>
      <c r="AJ15" s="2">
        <v>25.894653912683001</v>
      </c>
      <c r="AK15" s="5">
        <v>2499802920731.6001</v>
      </c>
      <c r="AL15" s="5">
        <v>3150671215493.0698</v>
      </c>
      <c r="AM15" s="5">
        <v>28510.887600805301</v>
      </c>
      <c r="AN15" s="5">
        <v>28510.887600805301</v>
      </c>
      <c r="AO15" s="5">
        <v>42338.221755887098</v>
      </c>
      <c r="AP15" s="5">
        <v>174300.184796516</v>
      </c>
      <c r="AQ15" s="4">
        <v>6.1134604869892897</v>
      </c>
      <c r="AR15" s="5">
        <v>65317480</v>
      </c>
      <c r="AS15" s="5">
        <v>65338459</v>
      </c>
      <c r="AT15" s="4">
        <v>0.159705886852715</v>
      </c>
      <c r="AU15" s="4">
        <v>0.203607005853367</v>
      </c>
      <c r="AV15" s="5">
        <v>35541.961865019497</v>
      </c>
      <c r="AW15" s="5">
        <v>1560.3318973528501</v>
      </c>
      <c r="AX15" s="5">
        <v>24752.759765625</v>
      </c>
      <c r="AY15" s="5">
        <v>28510.887600805301</v>
      </c>
      <c r="AZ15" s="4">
        <v>0.14102324843406699</v>
      </c>
      <c r="BA15" s="5">
        <v>4020.69798520413</v>
      </c>
      <c r="BB15" s="5">
        <v>87678888</v>
      </c>
      <c r="BC15" s="5">
        <v>24752.759765625</v>
      </c>
      <c r="BD15" s="5">
        <v>28929.924927107</v>
      </c>
      <c r="BE15" s="5">
        <v>0</v>
      </c>
      <c r="BF15" s="5">
        <v>2142.7772810752399</v>
      </c>
      <c r="BG15" s="5">
        <v>0</v>
      </c>
      <c r="BH15" s="1">
        <v>1901.2022081822799</v>
      </c>
      <c r="BI15" s="1">
        <v>13.3691</v>
      </c>
      <c r="BJ15">
        <v>0.52925299999999997</v>
      </c>
      <c r="BK15">
        <v>55.937756</v>
      </c>
      <c r="BL15" t="s">
        <v>383</v>
      </c>
      <c r="BM15" t="s">
        <v>382</v>
      </c>
      <c r="BN15">
        <v>2.4580000000000002</v>
      </c>
      <c r="BO15" s="12">
        <v>11.83</v>
      </c>
      <c r="BP15" s="12"/>
      <c r="BQ15">
        <v>5.9</v>
      </c>
      <c r="BR15" s="12">
        <f t="shared" si="1"/>
        <v>-0.50126796280642427</v>
      </c>
      <c r="BS15" s="12">
        <v>198.4</v>
      </c>
      <c r="BT15" s="12">
        <v>101.72</v>
      </c>
      <c r="BU15" s="12">
        <f t="shared" si="2"/>
        <v>-0.4872983870967742</v>
      </c>
    </row>
    <row r="16" spans="1:73" x14ac:dyDescent="0.25">
      <c r="A16" t="s">
        <v>145</v>
      </c>
      <c r="B16" t="s">
        <v>146</v>
      </c>
      <c r="C16" t="s">
        <v>147</v>
      </c>
      <c r="D16" t="b">
        <v>1</v>
      </c>
      <c r="E16" s="2" t="s">
        <v>110</v>
      </c>
      <c r="F16" s="2">
        <v>39.53</v>
      </c>
      <c r="G16" s="2">
        <v>44.064421325914999</v>
      </c>
      <c r="H16" s="2">
        <v>41.385386418979202</v>
      </c>
      <c r="I16" s="6">
        <v>-3.4650046744785801</v>
      </c>
      <c r="J16" s="6">
        <v>5.0263856012700199</v>
      </c>
      <c r="K16" s="6">
        <v>44</v>
      </c>
      <c r="L16" s="10">
        <v>2</v>
      </c>
      <c r="M16" s="3">
        <v>6</v>
      </c>
      <c r="N16" s="3">
        <v>4.18</v>
      </c>
      <c r="O16" s="3">
        <v>2.62</v>
      </c>
      <c r="P16" s="12">
        <f t="shared" si="0"/>
        <v>1.5599999999999996</v>
      </c>
      <c r="Q16" s="3">
        <v>-6.0798141137966402E-2</v>
      </c>
      <c r="R16" t="s">
        <v>148</v>
      </c>
      <c r="S16" s="1">
        <v>281.52269999999999</v>
      </c>
      <c r="T16" t="s">
        <v>149</v>
      </c>
      <c r="U16" s="3">
        <v>-1.0289999999999999</v>
      </c>
      <c r="V16" s="2">
        <v>42.98</v>
      </c>
      <c r="W16" s="2">
        <v>6.21</v>
      </c>
      <c r="X16" s="2">
        <v>5.6</v>
      </c>
      <c r="Y16" s="3">
        <v>-1.306</v>
      </c>
      <c r="Z16" s="5">
        <v>2062</v>
      </c>
      <c r="AA16" s="2">
        <v>39.6</v>
      </c>
      <c r="AB16" s="6">
        <v>-3.5590000000000002</v>
      </c>
      <c r="AC16" s="5">
        <v>994.09907772111001</v>
      </c>
      <c r="AD16" s="5">
        <v>907.33890683302798</v>
      </c>
      <c r="AE16" s="5">
        <v>935.31862674005197</v>
      </c>
      <c r="AF16" s="5">
        <v>2026.9633809920899</v>
      </c>
      <c r="AG16" s="5">
        <v>1903.7277752730399</v>
      </c>
      <c r="AH16" s="2">
        <v>4.9266895182006296</v>
      </c>
      <c r="AI16" s="2">
        <v>8.0452471876250904</v>
      </c>
      <c r="AJ16" s="2">
        <v>7.00982853300951</v>
      </c>
      <c r="AK16" s="5">
        <v>1060218004312.78</v>
      </c>
      <c r="AL16" s="5">
        <v>2113045495331.9199</v>
      </c>
      <c r="AM16" s="5">
        <v>4470.1770817499</v>
      </c>
      <c r="AN16" s="5">
        <v>4470.1770817499</v>
      </c>
      <c r="AO16" s="5">
        <v>6483.1120991880298</v>
      </c>
      <c r="AP16" s="5">
        <v>39334.399849738002</v>
      </c>
      <c r="AQ16" s="4">
        <v>8.7992934352256391</v>
      </c>
      <c r="AR16" s="5">
        <v>424713152</v>
      </c>
      <c r="AS16" s="5">
        <v>476747781</v>
      </c>
      <c r="AT16" s="4">
        <v>6.6085271419027106E-2</v>
      </c>
      <c r="AU16" s="4">
        <v>0.121425614589507</v>
      </c>
      <c r="AV16" s="5">
        <v>9882.1573885813104</v>
      </c>
      <c r="AW16" s="5">
        <v>546.88198114878605</v>
      </c>
      <c r="AX16" s="5">
        <v>4661.91650390625</v>
      </c>
      <c r="AY16" s="5">
        <v>4470.1770817499</v>
      </c>
      <c r="AZ16" s="4">
        <v>5.9359729290008503E-2</v>
      </c>
      <c r="BA16" s="5">
        <v>265.34850145107401</v>
      </c>
      <c r="BB16" s="5">
        <v>237175840</v>
      </c>
      <c r="BC16" s="5">
        <v>4661.91650390625</v>
      </c>
      <c r="BD16" s="5">
        <v>9158.0616342462708</v>
      </c>
      <c r="BE16" s="5">
        <v>0</v>
      </c>
      <c r="BF16" s="5">
        <v>132.11860127976601</v>
      </c>
      <c r="BG16" s="5">
        <v>0</v>
      </c>
      <c r="BH16" s="1">
        <v>1901.2022081822799</v>
      </c>
      <c r="BI16" s="1">
        <v>274.78969999999998</v>
      </c>
      <c r="BJ16">
        <v>0.18057500000000001</v>
      </c>
      <c r="BK16">
        <v>1559.034752</v>
      </c>
      <c r="BL16" t="s">
        <v>383</v>
      </c>
      <c r="BM16" t="s">
        <v>382</v>
      </c>
      <c r="BN16">
        <v>1.137</v>
      </c>
      <c r="BO16" s="12">
        <v>0.87080000000000002</v>
      </c>
      <c r="BP16" s="12"/>
      <c r="BQ16">
        <v>5.9</v>
      </c>
      <c r="BR16" s="17">
        <f t="shared" si="1"/>
        <v>5.7753789618741393</v>
      </c>
      <c r="BS16" s="12">
        <v>4.62</v>
      </c>
      <c r="BT16" s="12">
        <v>101.72</v>
      </c>
      <c r="BU16" s="17">
        <f t="shared" si="2"/>
        <v>21.017316017316016</v>
      </c>
    </row>
    <row r="17" spans="1:66" x14ac:dyDescent="0.25">
      <c r="A17" t="s">
        <v>150</v>
      </c>
      <c r="B17" t="s">
        <v>151</v>
      </c>
      <c r="C17" t="s">
        <v>152</v>
      </c>
      <c r="D17" t="b">
        <v>1</v>
      </c>
      <c r="E17" s="2" t="s">
        <v>153</v>
      </c>
      <c r="F17" s="2">
        <v>30.87</v>
      </c>
      <c r="G17" s="2">
        <v>31.934230465144601</v>
      </c>
      <c r="H17" s="2">
        <v>29.079602456643201</v>
      </c>
      <c r="I17" s="3">
        <v>0.99378554395665997</v>
      </c>
      <c r="J17" s="3">
        <v>2.4664823512296601</v>
      </c>
      <c r="K17" s="3">
        <v>35</v>
      </c>
      <c r="L17" s="3">
        <v>1.5</v>
      </c>
      <c r="M17" s="3">
        <v>3</v>
      </c>
      <c r="N17" s="3"/>
      <c r="O17" s="3"/>
      <c r="P17" s="3"/>
      <c r="Q17" s="3">
        <v>-8.9390850097894894E-2</v>
      </c>
      <c r="R17" t="s">
        <v>74</v>
      </c>
      <c r="S17" s="1">
        <v>1.0107999999999999</v>
      </c>
      <c r="T17" t="s">
        <v>154</v>
      </c>
      <c r="U17" s="3">
        <v>0.48099999999999998</v>
      </c>
      <c r="V17" s="2">
        <v>31.22</v>
      </c>
      <c r="W17" s="2">
        <v>76.42</v>
      </c>
      <c r="X17" s="2">
        <v>80.180000000000007</v>
      </c>
      <c r="Y17" s="3">
        <v>0.49399999999999999</v>
      </c>
      <c r="Z17" s="5">
        <v>1487</v>
      </c>
      <c r="AA17" s="2">
        <v>28.6</v>
      </c>
      <c r="AB17" s="3">
        <v>0.95199999999999996</v>
      </c>
      <c r="AC17" s="5">
        <v>633.91323969192297</v>
      </c>
      <c r="AD17" s="5">
        <v>609.44200057191199</v>
      </c>
      <c r="AE17" s="5">
        <v>550.70372273103396</v>
      </c>
      <c r="AF17" s="5">
        <v>1468.9746013966501</v>
      </c>
      <c r="AG17" s="5">
        <v>1337.6617130055899</v>
      </c>
      <c r="AH17" s="2">
        <v>70.726773293411</v>
      </c>
      <c r="AI17" s="2">
        <v>90.240629771305507</v>
      </c>
      <c r="AJ17" s="2">
        <v>64.067434520435597</v>
      </c>
      <c r="AK17" s="5">
        <v>2969713277028.5298</v>
      </c>
      <c r="AL17" s="5">
        <v>3475960378501.71</v>
      </c>
      <c r="AM17" s="5">
        <v>43103.866209932501</v>
      </c>
      <c r="AN17" s="5">
        <v>43103.866209932501</v>
      </c>
      <c r="AO17" s="5">
        <v>60832.224808212603</v>
      </c>
      <c r="AP17" s="5">
        <v>230720.412887844</v>
      </c>
      <c r="AQ17" s="4">
        <v>5.3526616792133304</v>
      </c>
      <c r="AR17" s="5">
        <v>71812888</v>
      </c>
      <c r="AS17" s="5">
        <v>71941824</v>
      </c>
      <c r="AT17" s="4">
        <v>0.25752798845729602</v>
      </c>
      <c r="AU17" s="4">
        <v>0.27809366372393401</v>
      </c>
      <c r="AV17" s="5">
        <v>48895.939364506099</v>
      </c>
      <c r="AW17" s="5">
        <v>1005.57801082764</v>
      </c>
      <c r="AX17" s="5">
        <v>36067.765625</v>
      </c>
      <c r="AY17" s="5">
        <v>43103.866209932501</v>
      </c>
      <c r="AZ17" s="4">
        <v>0.162977054715157</v>
      </c>
      <c r="BA17" s="5">
        <v>7024.9411617309497</v>
      </c>
      <c r="BB17" s="5">
        <v>68896680</v>
      </c>
      <c r="BC17" s="5">
        <v>36067.765625</v>
      </c>
      <c r="BD17" s="5">
        <v>42383.976234118898</v>
      </c>
      <c r="BE17" s="5">
        <v>0</v>
      </c>
      <c r="BF17" s="5">
        <v>824.87831781342595</v>
      </c>
      <c r="BG17" s="5">
        <v>0</v>
      </c>
      <c r="BH17" s="1">
        <v>1901.2022081822799</v>
      </c>
      <c r="BI17" s="1">
        <v>1.1112</v>
      </c>
      <c r="BJ17">
        <v>1.0108029999999999</v>
      </c>
      <c r="BK17">
        <v>1</v>
      </c>
      <c r="BL17" t="s">
        <v>383</v>
      </c>
      <c r="BM17" t="s">
        <v>382</v>
      </c>
      <c r="BN17">
        <v>1.01</v>
      </c>
    </row>
    <row r="18" spans="1:66" x14ac:dyDescent="0.25">
      <c r="A18" t="s">
        <v>155</v>
      </c>
      <c r="B18" t="s">
        <v>156</v>
      </c>
      <c r="C18" t="s">
        <v>157</v>
      </c>
      <c r="D18" t="b">
        <v>1</v>
      </c>
      <c r="E18" s="2" t="s">
        <v>73</v>
      </c>
      <c r="F18" s="2">
        <v>38.19</v>
      </c>
      <c r="G18" s="2">
        <v>38.404717606072197</v>
      </c>
      <c r="H18" s="2">
        <v>33.738353198111099</v>
      </c>
      <c r="I18" s="3">
        <v>1.8272145634567101</v>
      </c>
      <c r="J18" s="3">
        <v>0.49032798478598799</v>
      </c>
      <c r="K18" s="3">
        <v>40</v>
      </c>
      <c r="L18" s="3">
        <v>1.5</v>
      </c>
      <c r="M18" s="3">
        <v>3</v>
      </c>
      <c r="N18" s="3"/>
      <c r="O18" s="3"/>
      <c r="P18" s="3"/>
      <c r="Q18" s="3">
        <v>-0.12150497904516</v>
      </c>
      <c r="R18" t="s">
        <v>158</v>
      </c>
      <c r="S18" s="1">
        <v>44.698099999999997</v>
      </c>
      <c r="T18" t="s">
        <v>159</v>
      </c>
      <c r="U18" s="3">
        <v>1.712</v>
      </c>
      <c r="V18" s="2">
        <v>38.03</v>
      </c>
      <c r="W18" s="2">
        <v>36.42</v>
      </c>
      <c r="X18" s="2">
        <v>43.16</v>
      </c>
      <c r="Y18" s="3">
        <v>1.456</v>
      </c>
      <c r="Z18" s="5">
        <v>2087</v>
      </c>
      <c r="AA18" s="2">
        <v>40.1</v>
      </c>
      <c r="AB18" s="3">
        <v>1.6850000000000001</v>
      </c>
      <c r="AC18" s="5">
        <v>866.73013017695496</v>
      </c>
      <c r="AD18" s="5">
        <v>829.90381640100497</v>
      </c>
      <c r="AE18" s="5">
        <v>748.23840391052704</v>
      </c>
      <c r="AF18" s="5">
        <v>1766.61700987932</v>
      </c>
      <c r="AG18" s="5">
        <v>1551.9642471131101</v>
      </c>
      <c r="AH18" s="2">
        <v>40.274865209728802</v>
      </c>
      <c r="AI18" s="2">
        <v>42.293802466924703</v>
      </c>
      <c r="AJ18" s="2">
        <v>33.604346610376702</v>
      </c>
      <c r="AK18" s="5">
        <v>4812571042444.5195</v>
      </c>
      <c r="AL18" s="5">
        <v>4425861613437.7803</v>
      </c>
      <c r="AM18" s="5">
        <v>33424.2643425899</v>
      </c>
      <c r="AN18" s="5">
        <v>33424.2643425899</v>
      </c>
      <c r="AO18" s="5">
        <v>37721.268428255098</v>
      </c>
      <c r="AP18" s="5">
        <v>166986.81968060401</v>
      </c>
      <c r="AQ18" s="4">
        <v>4.9959759164489999</v>
      </c>
      <c r="AR18" s="5">
        <v>126279600</v>
      </c>
      <c r="AS18" s="5">
        <v>126386515</v>
      </c>
      <c r="AT18" s="4">
        <v>0.26244775584840602</v>
      </c>
      <c r="AU18" s="4">
        <v>0.28367925217726098</v>
      </c>
      <c r="AV18" s="5">
        <v>31879.450403316601</v>
      </c>
      <c r="AW18" s="5">
        <v>676.84843420392394</v>
      </c>
      <c r="AX18" s="5">
        <v>28942.833984375</v>
      </c>
      <c r="AY18" s="5">
        <v>33424.2643425899</v>
      </c>
      <c r="AZ18" s="4">
        <v>0.12412623316049599</v>
      </c>
      <c r="BA18" s="5">
        <v>4148.8280290063603</v>
      </c>
      <c r="BB18" s="5">
        <v>143984352</v>
      </c>
      <c r="BC18" s="5">
        <v>28942.833984375</v>
      </c>
      <c r="BD18" s="5">
        <v>25693.661042437401</v>
      </c>
      <c r="BE18" s="5">
        <v>0</v>
      </c>
      <c r="BF18" s="5">
        <v>2271.9474157448299</v>
      </c>
      <c r="BG18" s="5">
        <v>0</v>
      </c>
      <c r="BH18" s="1">
        <v>1901.2022081822799</v>
      </c>
      <c r="BI18" s="1">
        <v>43.556199999999997</v>
      </c>
      <c r="BJ18">
        <v>0.44780599999999998</v>
      </c>
      <c r="BK18">
        <v>99.815790000000007</v>
      </c>
      <c r="BL18" t="s">
        <v>383</v>
      </c>
      <c r="BM18" t="s">
        <v>382</v>
      </c>
      <c r="BN18">
        <v>1.139</v>
      </c>
    </row>
    <row r="19" spans="1:66" x14ac:dyDescent="0.25">
      <c r="A19" t="s">
        <v>160</v>
      </c>
      <c r="B19" t="s">
        <v>161</v>
      </c>
      <c r="C19" t="s">
        <v>162</v>
      </c>
      <c r="D19" t="b">
        <v>1</v>
      </c>
      <c r="E19" s="2" t="s">
        <v>73</v>
      </c>
      <c r="F19" s="2">
        <v>31.95</v>
      </c>
      <c r="G19" s="2">
        <v>35.277974023487403</v>
      </c>
      <c r="H19" s="2">
        <v>31.487097818650099</v>
      </c>
      <c r="I19" s="3">
        <v>1.34599481497149</v>
      </c>
      <c r="J19" s="3">
        <v>2.61485570435334</v>
      </c>
      <c r="K19" s="3">
        <v>40</v>
      </c>
      <c r="L19" s="3">
        <v>1.5</v>
      </c>
      <c r="M19" s="3">
        <v>3</v>
      </c>
      <c r="N19" s="3"/>
      <c r="O19" s="3"/>
      <c r="P19" s="3"/>
      <c r="Q19" s="3">
        <v>-0.107457310397513</v>
      </c>
      <c r="R19" t="s">
        <v>74</v>
      </c>
      <c r="S19" s="1">
        <v>0.86809999999999998</v>
      </c>
      <c r="T19" t="s">
        <v>163</v>
      </c>
      <c r="U19" s="3">
        <v>0.93</v>
      </c>
      <c r="V19" s="2">
        <v>34.14</v>
      </c>
      <c r="W19" s="2">
        <v>62.09</v>
      </c>
      <c r="X19" s="2">
        <v>68.11</v>
      </c>
      <c r="Y19" s="3">
        <v>0.878</v>
      </c>
      <c r="Z19" s="5">
        <v>1638</v>
      </c>
      <c r="AA19" s="2">
        <v>31.5</v>
      </c>
      <c r="AB19" s="3">
        <v>1.075</v>
      </c>
      <c r="AC19" s="5">
        <v>673.07696323066602</v>
      </c>
      <c r="AD19" s="5">
        <v>675.40127711871799</v>
      </c>
      <c r="AE19" s="5">
        <v>582.69057219033903</v>
      </c>
      <c r="AF19" s="5">
        <v>1622.78680508042</v>
      </c>
      <c r="AG19" s="5">
        <v>1448.40649965791</v>
      </c>
      <c r="AH19" s="2">
        <v>58.006667189438303</v>
      </c>
      <c r="AI19" s="2">
        <v>75.089688260216505</v>
      </c>
      <c r="AJ19" s="2">
        <v>50.7471915623032</v>
      </c>
      <c r="AK19" s="5">
        <v>1876222178262.8501</v>
      </c>
      <c r="AL19" s="5">
        <v>2063187210664</v>
      </c>
      <c r="AM19" s="5">
        <v>39177.777101147098</v>
      </c>
      <c r="AN19" s="5">
        <v>39177.777101147098</v>
      </c>
      <c r="AO19" s="5">
        <v>52086.819611394698</v>
      </c>
      <c r="AP19" s="5">
        <v>171275.034376592</v>
      </c>
      <c r="AQ19" s="4">
        <v>4.3717394668514098</v>
      </c>
      <c r="AR19" s="5">
        <v>33127146</v>
      </c>
      <c r="AS19" s="5">
        <v>33127478</v>
      </c>
      <c r="AT19" s="4">
        <v>0.23746293110738001</v>
      </c>
      <c r="AU19" s="4">
        <v>0.26193358122100602</v>
      </c>
      <c r="AV19" s="5">
        <v>40847.980393684702</v>
      </c>
      <c r="AW19" s="5">
        <v>999.57663606213498</v>
      </c>
      <c r="AX19" s="5">
        <v>32700.142578125</v>
      </c>
      <c r="AY19" s="5">
        <v>39177.777101147098</v>
      </c>
      <c r="AZ19" s="4">
        <v>0.16877205669879899</v>
      </c>
      <c r="BA19" s="5">
        <v>6612.1140182477102</v>
      </c>
      <c r="BB19" s="5">
        <v>47889960</v>
      </c>
      <c r="BC19" s="5">
        <v>32700.142578125</v>
      </c>
      <c r="BD19" s="5">
        <v>37691.897435213097</v>
      </c>
      <c r="BE19" s="5">
        <v>0</v>
      </c>
      <c r="BF19" s="5">
        <v>906.88289796922402</v>
      </c>
      <c r="BG19" s="5">
        <v>0</v>
      </c>
      <c r="BH19" s="1">
        <v>1901.2022081822799</v>
      </c>
      <c r="BI19" s="1">
        <v>0.97399999999999998</v>
      </c>
      <c r="BJ19">
        <v>0.86808799999999997</v>
      </c>
      <c r="BK19">
        <v>1</v>
      </c>
      <c r="BL19" t="s">
        <v>383</v>
      </c>
      <c r="BM19" t="s">
        <v>382</v>
      </c>
      <c r="BN19">
        <v>0.98899999999999999</v>
      </c>
    </row>
    <row r="20" spans="1:66" x14ac:dyDescent="0.25">
      <c r="A20" t="s">
        <v>164</v>
      </c>
      <c r="B20" t="s">
        <v>165</v>
      </c>
      <c r="C20" t="s">
        <v>166</v>
      </c>
      <c r="D20" t="b">
        <v>1</v>
      </c>
      <c r="E20" s="2" t="s">
        <v>167</v>
      </c>
      <c r="F20" s="2">
        <v>31.17</v>
      </c>
      <c r="G20" s="2">
        <v>32.158956551768</v>
      </c>
      <c r="H20" s="2">
        <v>29.241405239012199</v>
      </c>
      <c r="I20" s="3">
        <v>0.76935169085925503</v>
      </c>
      <c r="J20" s="3">
        <v>2.1170153823109699</v>
      </c>
      <c r="K20" s="3">
        <v>38</v>
      </c>
      <c r="L20" s="3">
        <v>1.5</v>
      </c>
      <c r="M20" s="3">
        <v>3</v>
      </c>
      <c r="N20" s="3"/>
      <c r="O20" s="3"/>
      <c r="P20" s="3"/>
      <c r="Q20" s="3">
        <v>-9.0722822678008894E-2</v>
      </c>
      <c r="R20" t="s">
        <v>168</v>
      </c>
      <c r="S20" s="1">
        <v>1.0251999999999999</v>
      </c>
      <c r="T20" t="s">
        <v>169</v>
      </c>
      <c r="U20" s="3">
        <v>0.53200000000000003</v>
      </c>
      <c r="V20" s="2">
        <v>31.06</v>
      </c>
      <c r="W20" s="2">
        <v>63.82</v>
      </c>
      <c r="X20" s="2">
        <v>67.3</v>
      </c>
      <c r="Y20" s="3">
        <v>0.51600000000000001</v>
      </c>
      <c r="Z20" s="5">
        <v>1523</v>
      </c>
      <c r="AA20" s="2">
        <v>29.3</v>
      </c>
      <c r="AB20" s="3">
        <v>0.64800000000000002</v>
      </c>
      <c r="AC20" s="5">
        <v>723.83979466394703</v>
      </c>
      <c r="AD20" s="5">
        <v>691.874296125922</v>
      </c>
      <c r="AE20" s="5">
        <v>628.66724593992603</v>
      </c>
      <c r="AF20" s="5">
        <v>1479.31200138133</v>
      </c>
      <c r="AG20" s="5">
        <v>1345.10464099456</v>
      </c>
      <c r="AH20" s="2">
        <v>60.154346127626702</v>
      </c>
      <c r="AI20" s="2">
        <v>74.1733920742153</v>
      </c>
      <c r="AJ20" s="2">
        <v>55.716312484245201</v>
      </c>
      <c r="AK20" s="5">
        <v>2894673821727.5298</v>
      </c>
      <c r="AL20" s="5">
        <v>3388082987344.1201</v>
      </c>
      <c r="AM20" s="5">
        <v>41619.245885966797</v>
      </c>
      <c r="AN20" s="5">
        <v>41619.245885966797</v>
      </c>
      <c r="AO20" s="5">
        <v>55136.557645885099</v>
      </c>
      <c r="AP20" s="5">
        <v>190473.82380961999</v>
      </c>
      <c r="AQ20" s="4">
        <v>4.5765803717708398</v>
      </c>
      <c r="AR20" s="5">
        <v>74303184</v>
      </c>
      <c r="AS20" s="5">
        <v>74305411</v>
      </c>
      <c r="AT20" s="4">
        <v>0.26813701895328101</v>
      </c>
      <c r="AU20" s="4">
        <v>0.28885734831327298</v>
      </c>
      <c r="AV20" s="5">
        <v>46243.291538778998</v>
      </c>
      <c r="AW20" s="5">
        <v>958.17623137362796</v>
      </c>
      <c r="AX20" s="5">
        <v>36155.4296875</v>
      </c>
      <c r="AY20" s="5">
        <v>41619.245885966797</v>
      </c>
      <c r="AZ20" s="4">
        <v>0.125027030706406</v>
      </c>
      <c r="BA20" s="5">
        <v>5203.5307333622204</v>
      </c>
      <c r="BB20" s="5">
        <v>69551328</v>
      </c>
      <c r="BC20" s="5">
        <v>36155.4296875</v>
      </c>
      <c r="BD20" s="5">
        <v>41236.730655471903</v>
      </c>
      <c r="BE20" s="5">
        <v>0</v>
      </c>
      <c r="BF20" s="5">
        <v>1050.5535839603999</v>
      </c>
      <c r="BG20" s="5">
        <v>0</v>
      </c>
      <c r="BH20" s="1">
        <v>1901.2022081822799</v>
      </c>
      <c r="BI20" s="1">
        <v>1.0860000000000001</v>
      </c>
      <c r="BJ20">
        <v>1.1976020000000001</v>
      </c>
      <c r="BK20">
        <v>0.85606599999999999</v>
      </c>
      <c r="BL20" t="s">
        <v>383</v>
      </c>
      <c r="BM20" t="s">
        <v>382</v>
      </c>
      <c r="BN20">
        <v>1.048</v>
      </c>
    </row>
    <row r="21" spans="1:66" x14ac:dyDescent="0.25">
      <c r="A21" t="s">
        <v>170</v>
      </c>
      <c r="B21" t="s">
        <v>171</v>
      </c>
      <c r="C21" t="s">
        <v>172</v>
      </c>
      <c r="D21" t="b">
        <v>1</v>
      </c>
      <c r="E21" s="2" t="s">
        <v>90</v>
      </c>
      <c r="F21" s="2">
        <v>40.78</v>
      </c>
      <c r="G21" s="2">
        <v>43.099359926970003</v>
      </c>
      <c r="H21" s="2">
        <v>37.118495669157603</v>
      </c>
      <c r="I21" s="3">
        <v>0.33087040344517099</v>
      </c>
      <c r="J21" s="3">
        <v>-1.3619454596795799</v>
      </c>
      <c r="K21" s="3">
        <v>48</v>
      </c>
      <c r="L21" s="3">
        <v>1</v>
      </c>
      <c r="M21" s="3">
        <v>2</v>
      </c>
      <c r="N21" s="3"/>
      <c r="O21" s="3"/>
      <c r="P21" s="3"/>
      <c r="Q21" s="3">
        <v>-0.138769212998678</v>
      </c>
      <c r="R21" t="s">
        <v>173</v>
      </c>
      <c r="S21" s="1">
        <v>3.0514000000000001</v>
      </c>
      <c r="T21" t="s">
        <v>174</v>
      </c>
      <c r="U21" s="3">
        <v>-0.432</v>
      </c>
      <c r="V21" s="2">
        <v>38.85</v>
      </c>
      <c r="W21" s="2">
        <v>68.150000000000006</v>
      </c>
      <c r="X21" s="2">
        <v>65.260000000000005</v>
      </c>
      <c r="Y21" s="3">
        <v>-0.77100000000000002</v>
      </c>
      <c r="Z21" s="5">
        <v>2125</v>
      </c>
      <c r="AA21" s="2">
        <v>40.9</v>
      </c>
      <c r="AB21" s="3">
        <v>-5.22</v>
      </c>
      <c r="AC21" s="5">
        <v>795.42421711866803</v>
      </c>
      <c r="AD21" s="5">
        <v>737.61923969005898</v>
      </c>
      <c r="AE21" s="5">
        <v>684.24177129200405</v>
      </c>
      <c r="AF21" s="5">
        <v>1982.57055664062</v>
      </c>
      <c r="AG21" s="5">
        <v>1707.4508007812501</v>
      </c>
      <c r="AH21" s="2">
        <v>58.937746957907898</v>
      </c>
      <c r="AI21" s="2">
        <v>51.385254250340097</v>
      </c>
      <c r="AJ21" s="2">
        <v>57.0226939103703</v>
      </c>
      <c r="AK21" s="5">
        <v>1502546248898.6599</v>
      </c>
      <c r="AL21" s="5">
        <v>1406527024671.04</v>
      </c>
      <c r="AM21" s="5">
        <v>43473.6161001371</v>
      </c>
      <c r="AN21" s="5">
        <v>43473.6161001371</v>
      </c>
      <c r="AO21" s="5">
        <v>44171.395716065999</v>
      </c>
      <c r="AP21" s="5">
        <v>217392.83758878199</v>
      </c>
      <c r="AQ21" s="4">
        <v>5.0005694738629396</v>
      </c>
      <c r="AR21" s="5">
        <v>70982024</v>
      </c>
      <c r="AS21" s="5">
        <v>71006690</v>
      </c>
      <c r="AT21" s="4">
        <v>0.38481939014401201</v>
      </c>
      <c r="AU21" s="4">
        <v>0.38114315175008301</v>
      </c>
      <c r="AV21" s="5">
        <v>41247.908888702703</v>
      </c>
      <c r="AW21" s="5">
        <v>-151.63714632593599</v>
      </c>
      <c r="AX21" s="5">
        <v>38825.1875</v>
      </c>
      <c r="AY21" s="5">
        <v>43473.6161001371</v>
      </c>
      <c r="AZ21" s="4">
        <v>8.96723717451096E-2</v>
      </c>
      <c r="BA21" s="5">
        <v>3898.3822640356698</v>
      </c>
      <c r="BB21" s="5">
        <v>34562256</v>
      </c>
      <c r="BC21" s="5">
        <v>38825.1875</v>
      </c>
      <c r="BD21" s="5">
        <v>28679.4592872832</v>
      </c>
      <c r="BE21" s="5">
        <v>0</v>
      </c>
      <c r="BF21" s="5">
        <v>2162.7937021490302</v>
      </c>
      <c r="BG21" s="5">
        <v>0</v>
      </c>
      <c r="BH21" s="1">
        <v>1901.2022081822799</v>
      </c>
      <c r="BI21" s="1">
        <v>3.2301000000000002</v>
      </c>
      <c r="BJ21">
        <v>0.70167299999999999</v>
      </c>
      <c r="BK21">
        <v>4.3487780000000003</v>
      </c>
      <c r="BL21" t="s">
        <v>383</v>
      </c>
      <c r="BM21" t="s">
        <v>382</v>
      </c>
      <c r="BN21">
        <v>1.0489999999999999</v>
      </c>
    </row>
    <row r="22" spans="1:66" x14ac:dyDescent="0.25">
      <c r="A22" t="s">
        <v>175</v>
      </c>
      <c r="B22" t="s">
        <v>176</v>
      </c>
      <c r="C22" t="s">
        <v>177</v>
      </c>
      <c r="D22" t="b">
        <v>1</v>
      </c>
      <c r="E22" s="2" t="s">
        <v>90</v>
      </c>
      <c r="F22" s="2">
        <v>44.12</v>
      </c>
      <c r="G22" s="2">
        <v>47.498569187809998</v>
      </c>
      <c r="H22" s="2">
        <v>40.285926336962397</v>
      </c>
      <c r="I22" s="3">
        <v>4.4161483235772403</v>
      </c>
      <c r="J22" s="3">
        <v>2.3375310539576399</v>
      </c>
      <c r="K22" s="3">
        <v>48</v>
      </c>
      <c r="L22" s="3">
        <v>2</v>
      </c>
      <c r="M22" s="3">
        <v>4</v>
      </c>
      <c r="N22" s="3"/>
      <c r="O22" s="3"/>
      <c r="P22" s="3"/>
      <c r="Q22" s="3">
        <v>-0.15184968672064</v>
      </c>
      <c r="R22" t="s">
        <v>178</v>
      </c>
      <c r="S22" s="1">
        <v>10.457000000000001</v>
      </c>
      <c r="T22" t="s">
        <v>179</v>
      </c>
      <c r="U22" s="3">
        <v>2.4380000000000002</v>
      </c>
      <c r="V22" s="2">
        <v>46.13</v>
      </c>
      <c r="W22" s="2">
        <v>20.78</v>
      </c>
      <c r="X22" s="2">
        <v>26.44</v>
      </c>
      <c r="Y22" s="3">
        <v>2.6280000000000001</v>
      </c>
      <c r="Z22" s="5">
        <v>2369</v>
      </c>
      <c r="AA22" s="2">
        <v>45.5</v>
      </c>
      <c r="AB22" s="3">
        <v>2.4049999999999998</v>
      </c>
      <c r="AC22" s="5">
        <v>665.37716833770799</v>
      </c>
      <c r="AD22" s="5">
        <v>563.07469945272896</v>
      </c>
      <c r="AE22" s="5">
        <v>570.78135881064395</v>
      </c>
      <c r="AF22" s="5">
        <v>2184.9341826392601</v>
      </c>
      <c r="AG22" s="5">
        <v>1853.15261150027</v>
      </c>
      <c r="AH22" s="2">
        <v>26.5590803242475</v>
      </c>
      <c r="AI22" s="2">
        <v>33.462808205285498</v>
      </c>
      <c r="AJ22" s="2">
        <v>17.239963505489499</v>
      </c>
      <c r="AK22" s="5">
        <v>1768977303978.0601</v>
      </c>
      <c r="AL22" s="5">
        <v>2568548361422.8501</v>
      </c>
      <c r="AM22" s="5">
        <v>14954.746171316599</v>
      </c>
      <c r="AN22" s="5">
        <v>14954.746171316599</v>
      </c>
      <c r="AO22" s="5">
        <v>22134.902700865401</v>
      </c>
      <c r="AP22" s="5">
        <v>128552.52391949799</v>
      </c>
      <c r="AQ22" s="4">
        <v>8.5961020298735296</v>
      </c>
      <c r="AR22" s="5">
        <v>188504944</v>
      </c>
      <c r="AS22" s="5">
        <v>201895184</v>
      </c>
      <c r="AT22" s="4">
        <v>0.110762357940432</v>
      </c>
      <c r="AU22" s="4">
        <v>0.174538359196273</v>
      </c>
      <c r="AV22" s="5">
        <v>20686.952899849799</v>
      </c>
      <c r="AW22" s="5">
        <v>1319.33113412033</v>
      </c>
      <c r="AX22" s="5">
        <v>14693.3583984375</v>
      </c>
      <c r="AY22" s="5">
        <v>14954.746171316599</v>
      </c>
      <c r="AZ22" s="4">
        <v>6.1693813651800197E-2</v>
      </c>
      <c r="BA22" s="5">
        <v>922.615323503176</v>
      </c>
      <c r="BB22" s="5">
        <v>118288688</v>
      </c>
      <c r="BC22" s="5">
        <v>14693.3583984375</v>
      </c>
      <c r="BD22" s="5">
        <v>19516.701264899799</v>
      </c>
      <c r="BE22" s="5">
        <v>0</v>
      </c>
      <c r="BF22" s="5">
        <v>883.79781828252703</v>
      </c>
      <c r="BG22" s="5">
        <v>0</v>
      </c>
      <c r="BH22" s="1">
        <v>1901.2022081822799</v>
      </c>
      <c r="BI22" s="1">
        <v>7.9381000000000004</v>
      </c>
      <c r="BJ22">
        <v>0.17883199999999999</v>
      </c>
      <c r="BK22">
        <v>58.473624999999998</v>
      </c>
      <c r="BL22" t="s">
        <v>383</v>
      </c>
      <c r="BM22" t="s">
        <v>382</v>
      </c>
      <c r="BN22">
        <v>1.462</v>
      </c>
    </row>
    <row r="23" spans="1:66" x14ac:dyDescent="0.25">
      <c r="A23" t="s">
        <v>180</v>
      </c>
      <c r="B23" t="s">
        <v>181</v>
      </c>
      <c r="C23" t="s">
        <v>182</v>
      </c>
      <c r="D23" t="b">
        <v>1</v>
      </c>
      <c r="E23" s="2" t="s">
        <v>90</v>
      </c>
      <c r="F23" s="2">
        <v>41.07</v>
      </c>
      <c r="G23" s="2">
        <v>48.138672169513001</v>
      </c>
      <c r="H23" s="2">
        <v>40.746800483788498</v>
      </c>
      <c r="I23" s="3">
        <v>5.2967504154510799E-2</v>
      </c>
      <c r="J23" s="3">
        <v>2.7344008372929101</v>
      </c>
      <c r="K23" s="3">
        <v>48</v>
      </c>
      <c r="L23" s="3">
        <v>1.5</v>
      </c>
      <c r="M23" s="3">
        <v>3</v>
      </c>
      <c r="N23" s="3"/>
      <c r="O23" s="3"/>
      <c r="P23" s="3"/>
      <c r="Q23" s="3">
        <v>-0.15355370957668299</v>
      </c>
      <c r="R23" t="s">
        <v>183</v>
      </c>
      <c r="S23" s="1">
        <v>15.287800000000001</v>
      </c>
      <c r="T23" t="s">
        <v>184</v>
      </c>
      <c r="U23" s="3">
        <v>-0.25600000000000001</v>
      </c>
      <c r="V23" s="2">
        <v>42.35</v>
      </c>
      <c r="W23" s="2">
        <v>23.3</v>
      </c>
      <c r="X23" s="2">
        <v>22.71</v>
      </c>
      <c r="Y23" s="3">
        <v>-0.24299999999999999</v>
      </c>
      <c r="Z23" s="5">
        <v>1629</v>
      </c>
      <c r="AA23" s="2">
        <v>31.3</v>
      </c>
      <c r="AB23" s="3">
        <v>-1.5069999999999999</v>
      </c>
      <c r="AC23" s="5">
        <v>959.52609549798399</v>
      </c>
      <c r="AD23" s="5">
        <v>916.44251610330798</v>
      </c>
      <c r="AE23" s="5">
        <v>822.80835696296697</v>
      </c>
      <c r="AF23" s="5">
        <v>2214.3789197975998</v>
      </c>
      <c r="AG23" s="5">
        <v>1874.35282225427</v>
      </c>
      <c r="AH23" s="2">
        <v>19.111620530855401</v>
      </c>
      <c r="AI23" s="2">
        <v>25.029745729158702</v>
      </c>
      <c r="AJ23" s="2">
        <v>19.010685326152799</v>
      </c>
      <c r="AK23" s="5">
        <v>2308979506494.02</v>
      </c>
      <c r="AL23" s="5">
        <v>2860938695637.9502</v>
      </c>
      <c r="AM23" s="5">
        <v>17514.7016061088</v>
      </c>
      <c r="AN23" s="5">
        <v>17514.7016061088</v>
      </c>
      <c r="AO23" s="5">
        <v>24154.558114886098</v>
      </c>
      <c r="AP23" s="5">
        <v>122167.90295516</v>
      </c>
      <c r="AQ23" s="4">
        <v>6.9751632487161999</v>
      </c>
      <c r="AR23" s="5">
        <v>112853680</v>
      </c>
      <c r="AS23" s="5">
        <v>130248836</v>
      </c>
      <c r="AT23" s="4">
        <v>0.134043538162429</v>
      </c>
      <c r="AU23" s="4">
        <v>0.176949185435686</v>
      </c>
      <c r="AV23" s="5">
        <v>22061.637100793301</v>
      </c>
      <c r="AW23" s="5">
        <v>946.56881971724704</v>
      </c>
      <c r="AX23" s="5">
        <v>14752.2255859375</v>
      </c>
      <c r="AY23" s="5">
        <v>17514.7016061088</v>
      </c>
      <c r="AZ23" s="4">
        <v>0.18466082215309099</v>
      </c>
      <c r="BA23" s="5">
        <v>3234.2791983501102</v>
      </c>
      <c r="BB23" s="5">
        <v>131830936</v>
      </c>
      <c r="BC23" s="5">
        <v>14752.2255859375</v>
      </c>
      <c r="BD23" s="5">
        <v>18402.800683612</v>
      </c>
      <c r="BE23" s="5">
        <v>0</v>
      </c>
      <c r="BF23" s="5">
        <v>915.12222769529296</v>
      </c>
      <c r="BG23" s="5">
        <v>0</v>
      </c>
      <c r="BH23" s="1">
        <v>1901.2022081822799</v>
      </c>
      <c r="BI23" s="1">
        <v>16.5627</v>
      </c>
      <c r="BJ23">
        <v>0.77449000000000001</v>
      </c>
      <c r="BK23">
        <v>19.739176</v>
      </c>
      <c r="BL23" t="s">
        <v>383</v>
      </c>
      <c r="BM23" t="s">
        <v>382</v>
      </c>
      <c r="BN23">
        <v>1.0249999999999999</v>
      </c>
    </row>
    <row r="24" spans="1:66" x14ac:dyDescent="0.25">
      <c r="A24" t="s">
        <v>185</v>
      </c>
      <c r="B24" t="s">
        <v>186</v>
      </c>
      <c r="C24" t="s">
        <v>187</v>
      </c>
      <c r="D24" t="b">
        <v>1</v>
      </c>
      <c r="E24" s="2" t="s">
        <v>90</v>
      </c>
      <c r="F24" s="2">
        <v>47.63</v>
      </c>
      <c r="G24" s="2">
        <v>51.636249582824803</v>
      </c>
      <c r="H24" s="2">
        <v>46.852710519138</v>
      </c>
      <c r="I24" s="3">
        <v>1.63504297187407</v>
      </c>
      <c r="J24" s="3">
        <v>5.4400801666147203</v>
      </c>
      <c r="K24" s="3">
        <v>48</v>
      </c>
      <c r="L24" s="3">
        <v>3</v>
      </c>
      <c r="M24" s="3">
        <v>6</v>
      </c>
      <c r="N24" s="3"/>
      <c r="O24" s="3"/>
      <c r="P24" s="3"/>
      <c r="Q24" s="3">
        <v>-9.2639165360256501E-2</v>
      </c>
      <c r="R24" t="s">
        <v>188</v>
      </c>
      <c r="S24" s="1">
        <v>107.02760000000001</v>
      </c>
      <c r="T24" t="s">
        <v>189</v>
      </c>
      <c r="U24" s="3">
        <v>1.417</v>
      </c>
      <c r="V24" s="2">
        <v>46.77</v>
      </c>
      <c r="W24" s="2">
        <v>6.22</v>
      </c>
      <c r="X24" s="2">
        <v>7.16</v>
      </c>
      <c r="Y24" s="3">
        <v>1.704</v>
      </c>
      <c r="Z24" s="5">
        <v>2471</v>
      </c>
      <c r="AA24" s="2">
        <v>47.5</v>
      </c>
      <c r="AB24" s="3">
        <v>0.622</v>
      </c>
      <c r="AC24" s="5">
        <v>811.88614092536204</v>
      </c>
      <c r="AD24" s="5">
        <v>729.87549930296302</v>
      </c>
      <c r="AE24" s="5">
        <v>752.52585090830496</v>
      </c>
      <c r="AF24" s="5">
        <v>2375.26748080994</v>
      </c>
      <c r="AG24" s="5">
        <v>2155.2246838803499</v>
      </c>
      <c r="AH24" s="2">
        <v>6.6826531554653901</v>
      </c>
      <c r="AI24" s="2">
        <v>11.3502700701272</v>
      </c>
      <c r="AJ24" s="2">
        <v>5.6821693030400597</v>
      </c>
      <c r="AK24" s="5">
        <v>1244023911787.53</v>
      </c>
      <c r="AL24" s="5">
        <v>2538450553727.02</v>
      </c>
      <c r="AM24" s="5">
        <v>4877.5048085138196</v>
      </c>
      <c r="AN24" s="5">
        <v>4877.5048085138196</v>
      </c>
      <c r="AO24" s="5">
        <v>9187.0396271050395</v>
      </c>
      <c r="AP24" s="5">
        <v>95212.241332093297</v>
      </c>
      <c r="AQ24" s="4">
        <v>19.520686307863301</v>
      </c>
      <c r="AR24" s="5">
        <v>479002496</v>
      </c>
      <c r="AS24" s="5">
        <v>511000618</v>
      </c>
      <c r="AT24" s="4">
        <v>0.15137115743703999</v>
      </c>
      <c r="AU24" s="4">
        <v>0.21237980799650599</v>
      </c>
      <c r="AV24" s="5">
        <v>9307.1575680760798</v>
      </c>
      <c r="AW24" s="5">
        <v>567.81712377264398</v>
      </c>
      <c r="AX24" s="5">
        <v>4891.38134765625</v>
      </c>
      <c r="AY24" s="5">
        <v>4877.5048085138196</v>
      </c>
      <c r="AZ24" s="4">
        <v>6.3439972698688493E-2</v>
      </c>
      <c r="BA24" s="5">
        <v>309.42877188983903</v>
      </c>
      <c r="BB24" s="5">
        <v>255053344</v>
      </c>
      <c r="BC24" s="5">
        <v>4891.38134765625</v>
      </c>
      <c r="BD24" s="5">
        <v>10165.1132356041</v>
      </c>
      <c r="BE24" s="5">
        <v>0</v>
      </c>
      <c r="BF24" s="5">
        <v>127.72471476568499</v>
      </c>
      <c r="BG24" s="5">
        <v>0</v>
      </c>
      <c r="BH24" s="1">
        <v>1901.2022081822799</v>
      </c>
      <c r="BI24" s="1">
        <v>93.457899999999995</v>
      </c>
      <c r="BJ24">
        <v>0.33211400000000002</v>
      </c>
      <c r="BK24">
        <v>322.26165099999997</v>
      </c>
      <c r="BL24" t="s">
        <v>383</v>
      </c>
      <c r="BM24" t="s">
        <v>382</v>
      </c>
      <c r="BN24">
        <v>1.2709999999999999</v>
      </c>
    </row>
    <row r="25" spans="1:66" x14ac:dyDescent="0.25">
      <c r="A25" t="s">
        <v>190</v>
      </c>
      <c r="B25" t="s">
        <v>191</v>
      </c>
      <c r="C25" t="s">
        <v>192</v>
      </c>
      <c r="D25" t="b">
        <v>1</v>
      </c>
      <c r="E25" s="2" t="s">
        <v>73</v>
      </c>
      <c r="F25" s="2">
        <v>38.9</v>
      </c>
      <c r="G25" s="2">
        <v>46.7625891644022</v>
      </c>
      <c r="H25" s="2">
        <v>39.756020720108701</v>
      </c>
      <c r="I25" s="3">
        <v>5.1945613946241798</v>
      </c>
      <c r="J25" s="3">
        <v>1.7935740327210901</v>
      </c>
      <c r="K25" s="3">
        <v>40</v>
      </c>
      <c r="L25" s="3">
        <v>1.5</v>
      </c>
      <c r="M25" s="3">
        <v>3</v>
      </c>
      <c r="N25" s="3"/>
      <c r="O25" s="3"/>
      <c r="P25" s="3"/>
      <c r="Q25" s="3">
        <v>-0.149832773794039</v>
      </c>
      <c r="R25" t="s">
        <v>193</v>
      </c>
      <c r="S25" s="1">
        <v>20.860700000000001</v>
      </c>
      <c r="T25" t="s">
        <v>194</v>
      </c>
      <c r="U25" s="3">
        <v>3.3239999999999998</v>
      </c>
      <c r="V25" s="2">
        <v>39.44</v>
      </c>
      <c r="W25" s="2">
        <v>50.39</v>
      </c>
      <c r="X25" s="2">
        <v>69.88</v>
      </c>
      <c r="Y25" s="3">
        <v>3.0169999999999999</v>
      </c>
      <c r="Z25" s="5">
        <v>2032</v>
      </c>
      <c r="AA25" s="2">
        <v>39.1</v>
      </c>
      <c r="AB25" s="3">
        <v>1.988</v>
      </c>
      <c r="AC25" s="5">
        <v>923.99104090391495</v>
      </c>
      <c r="AD25" s="5">
        <v>981.95790842486394</v>
      </c>
      <c r="AE25" s="5">
        <v>792.97273026687401</v>
      </c>
      <c r="AF25" s="5">
        <v>2151.0791015625</v>
      </c>
      <c r="AG25" s="5">
        <v>1828.7769531250001</v>
      </c>
      <c r="AH25" s="2">
        <v>58.4989802602895</v>
      </c>
      <c r="AI25" s="2">
        <v>69.8798437642062</v>
      </c>
      <c r="AJ25" s="2">
        <v>35.254570151546197</v>
      </c>
      <c r="AK25" s="5">
        <v>1327733698992.8899</v>
      </c>
      <c r="AL25" s="5">
        <v>1218283997361.5701</v>
      </c>
      <c r="AM25" s="5">
        <v>57443.536301381297</v>
      </c>
      <c r="AN25" s="5">
        <v>57443.536301381297</v>
      </c>
      <c r="AO25" s="5">
        <v>65621.008279061702</v>
      </c>
      <c r="AP25" s="5">
        <v>200561.16478459601</v>
      </c>
      <c r="AQ25" s="4">
        <v>3.4914487808051802</v>
      </c>
      <c r="AR25" s="5">
        <v>10016795</v>
      </c>
      <c r="AS25" s="5">
        <v>10016995</v>
      </c>
      <c r="AT25" s="4">
        <v>0.19223914915271101</v>
      </c>
      <c r="AU25" s="4">
        <v>0.217693064168405</v>
      </c>
      <c r="AV25" s="5">
        <v>47275.196399926797</v>
      </c>
      <c r="AW25" s="5">
        <v>1203.33883151394</v>
      </c>
      <c r="AX25" s="5">
        <v>48471.046875</v>
      </c>
      <c r="AY25" s="5">
        <v>57443.536301381297</v>
      </c>
      <c r="AZ25" s="4">
        <v>0.14608865976333599</v>
      </c>
      <c r="BA25" s="5">
        <v>8391.8492303353396</v>
      </c>
      <c r="BB25" s="5">
        <v>23113718</v>
      </c>
      <c r="BC25" s="5">
        <v>48471.046875</v>
      </c>
      <c r="BD25" s="5">
        <v>43614.403740362402</v>
      </c>
      <c r="BE25" s="5">
        <v>0</v>
      </c>
      <c r="BF25" s="5">
        <v>3734.70471781987</v>
      </c>
      <c r="BG25" s="5">
        <v>0</v>
      </c>
      <c r="BH25" s="1">
        <v>1901.2022081822799</v>
      </c>
      <c r="BI25" s="1">
        <v>23.011099999999999</v>
      </c>
      <c r="BJ25">
        <v>0.56844899999999998</v>
      </c>
      <c r="BK25">
        <v>36.697628999999999</v>
      </c>
      <c r="BL25" t="s">
        <v>383</v>
      </c>
      <c r="BM25" t="s">
        <v>382</v>
      </c>
      <c r="BN25">
        <v>1.006</v>
      </c>
    </row>
    <row r="26" spans="1:66" x14ac:dyDescent="0.25">
      <c r="A26" t="s">
        <v>195</v>
      </c>
      <c r="B26" t="s">
        <v>196</v>
      </c>
      <c r="C26" t="s">
        <v>197</v>
      </c>
      <c r="D26" t="b">
        <v>1</v>
      </c>
      <c r="E26" s="2" t="s">
        <v>90</v>
      </c>
      <c r="F26" s="2">
        <v>41.76</v>
      </c>
      <c r="G26" s="2">
        <v>45.984800037117999</v>
      </c>
      <c r="H26" s="2">
        <v>42.105492900744402</v>
      </c>
      <c r="I26" s="3">
        <v>5.8553339821494097</v>
      </c>
      <c r="J26" s="3">
        <v>3.48758348520983</v>
      </c>
      <c r="K26" s="3">
        <v>48</v>
      </c>
      <c r="L26" s="3">
        <v>3</v>
      </c>
      <c r="M26" s="3">
        <v>6</v>
      </c>
      <c r="N26" s="3"/>
      <c r="O26" s="3"/>
      <c r="P26" s="3"/>
      <c r="Q26" s="3">
        <v>-8.4360639455697106E-2</v>
      </c>
      <c r="R26" t="s">
        <v>198</v>
      </c>
      <c r="S26" s="1">
        <v>11176.617099999999</v>
      </c>
      <c r="T26" t="s">
        <v>199</v>
      </c>
      <c r="U26" s="3">
        <v>5.2770000000000001</v>
      </c>
      <c r="V26" s="2">
        <v>40.520000000000003</v>
      </c>
      <c r="W26" s="2">
        <v>7.6</v>
      </c>
      <c r="X26" s="2">
        <v>12.71</v>
      </c>
      <c r="Y26" s="3">
        <v>5.2640000000000002</v>
      </c>
      <c r="Z26" s="5">
        <v>2160</v>
      </c>
      <c r="AA26" s="2">
        <v>41.5</v>
      </c>
      <c r="AB26" s="3">
        <v>5.258</v>
      </c>
      <c r="AC26" s="5">
        <v>1120.5990955059201</v>
      </c>
      <c r="AD26" s="5">
        <v>1111.08244616037</v>
      </c>
      <c r="AE26" s="5">
        <v>1033.5763959231299</v>
      </c>
      <c r="AF26" s="5">
        <v>2115.3008017074299</v>
      </c>
      <c r="AG26" s="5">
        <v>1936.8526734342399</v>
      </c>
      <c r="AH26" s="2">
        <v>10.758632866750499</v>
      </c>
      <c r="AI26" s="2">
        <v>15.1579177865831</v>
      </c>
      <c r="AJ26" s="2">
        <v>6.0901728717222303</v>
      </c>
      <c r="AK26" s="5">
        <v>1213939534073.23</v>
      </c>
      <c r="AL26" s="5">
        <v>1654257616608.2</v>
      </c>
      <c r="AM26" s="5">
        <v>11953.728122930401</v>
      </c>
      <c r="AN26" s="5">
        <v>11953.728122930401</v>
      </c>
      <c r="AO26" s="5">
        <v>18755.330441595299</v>
      </c>
      <c r="AP26" s="5">
        <v>129492.51835940999</v>
      </c>
      <c r="AQ26" s="4">
        <v>10.8328144180399</v>
      </c>
      <c r="AR26" s="5">
        <v>84394600</v>
      </c>
      <c r="AS26" s="5">
        <v>91705108</v>
      </c>
      <c r="AT26" s="4">
        <v>0.121224179273439</v>
      </c>
      <c r="AU26" s="4">
        <v>0.18018936285918399</v>
      </c>
      <c r="AV26" s="5">
        <v>16887.5101995554</v>
      </c>
      <c r="AW26" s="5">
        <v>995.77513922292496</v>
      </c>
      <c r="AX26" s="5">
        <v>10956.9052734375</v>
      </c>
      <c r="AY26" s="5">
        <v>11953.728122930401</v>
      </c>
      <c r="AZ26" s="4">
        <v>0.11312659829855</v>
      </c>
      <c r="BA26" s="5">
        <v>1352.28459953283</v>
      </c>
      <c r="BB26" s="5">
        <v>101553216</v>
      </c>
      <c r="BC26" s="5">
        <v>10956.9052734375</v>
      </c>
      <c r="BD26" s="5">
        <v>15566.060481197201</v>
      </c>
      <c r="BE26" s="5">
        <v>0</v>
      </c>
      <c r="BF26" s="5">
        <v>286.56555511004098</v>
      </c>
      <c r="BG26" s="5">
        <v>0</v>
      </c>
      <c r="BH26" s="1">
        <v>1901.2022081822799</v>
      </c>
      <c r="BI26" s="1">
        <v>11258.691800000001</v>
      </c>
      <c r="BJ26">
        <v>0.37191299999999999</v>
      </c>
      <c r="BK26">
        <v>30051.697970000001</v>
      </c>
      <c r="BL26" t="s">
        <v>383</v>
      </c>
      <c r="BM26" t="s">
        <v>382</v>
      </c>
      <c r="BN26">
        <v>1.1020000000000001</v>
      </c>
    </row>
    <row r="27" spans="1:66" x14ac:dyDescent="0.25">
      <c r="A27" t="s">
        <v>200</v>
      </c>
      <c r="B27" t="s">
        <v>201</v>
      </c>
      <c r="C27" t="s">
        <v>202</v>
      </c>
      <c r="D27" t="b">
        <v>1</v>
      </c>
      <c r="E27" s="2" t="s">
        <v>90</v>
      </c>
      <c r="F27" s="2">
        <v>46.56</v>
      </c>
      <c r="G27" s="2">
        <v>51.957824704257597</v>
      </c>
      <c r="H27" s="2">
        <v>47.122833621141503</v>
      </c>
      <c r="I27" s="3">
        <v>4.2340253512413302</v>
      </c>
      <c r="J27" s="3">
        <v>5.1836034351968596</v>
      </c>
      <c r="K27" s="3">
        <v>48</v>
      </c>
      <c r="L27" s="3">
        <v>3</v>
      </c>
      <c r="M27" s="3">
        <v>6</v>
      </c>
      <c r="N27" s="3"/>
      <c r="O27" s="3"/>
      <c r="P27" s="3"/>
      <c r="Q27" s="3">
        <v>-9.3056072124588204E-2</v>
      </c>
      <c r="R27" t="s">
        <v>203</v>
      </c>
      <c r="S27" s="1">
        <v>49.897399999999998</v>
      </c>
      <c r="T27" t="s">
        <v>204</v>
      </c>
      <c r="U27" s="3">
        <v>3.8809999999999998</v>
      </c>
      <c r="V27" s="2">
        <v>46.17</v>
      </c>
      <c r="W27" s="2">
        <v>6</v>
      </c>
      <c r="X27" s="2">
        <v>8.7799999999999994</v>
      </c>
      <c r="Y27" s="3">
        <v>4.0839999999999996</v>
      </c>
      <c r="Z27" s="5">
        <v>2383</v>
      </c>
      <c r="AA27" s="2">
        <v>45.8</v>
      </c>
      <c r="AB27" s="3">
        <v>5.7190000000000003</v>
      </c>
      <c r="AC27" s="5">
        <v>1002.29265829886</v>
      </c>
      <c r="AD27" s="5">
        <v>955.87479861664997</v>
      </c>
      <c r="AE27" s="5">
        <v>929.24369490151105</v>
      </c>
      <c r="AF27" s="5">
        <v>2390.0599363958499</v>
      </c>
      <c r="AG27" s="5">
        <v>2167.65034657251</v>
      </c>
      <c r="AH27" s="2">
        <v>7.8599498032534996</v>
      </c>
      <c r="AI27" s="2">
        <v>13.028674157948</v>
      </c>
      <c r="AJ27" s="2">
        <v>5.1918803339828301</v>
      </c>
      <c r="AK27" s="5">
        <v>1318547821936.6001</v>
      </c>
      <c r="AL27" s="5">
        <v>2325113884410.02</v>
      </c>
      <c r="AM27" s="5">
        <v>7513.1279353219097</v>
      </c>
      <c r="AN27" s="5">
        <v>7513.1279353219097</v>
      </c>
      <c r="AO27" s="5">
        <v>12941.035400274701</v>
      </c>
      <c r="AP27" s="5">
        <v>107752.37581837999</v>
      </c>
      <c r="AQ27" s="4">
        <v>14.3418795401843</v>
      </c>
      <c r="AR27" s="5">
        <v>188815728</v>
      </c>
      <c r="AS27" s="5">
        <v>208596516</v>
      </c>
      <c r="AT27" s="4">
        <v>0.14242800642741199</v>
      </c>
      <c r="AU27" s="4">
        <v>0.18976179796453899</v>
      </c>
      <c r="AV27" s="5">
        <v>13153.041954226601</v>
      </c>
      <c r="AW27" s="5">
        <v>622.58334594044697</v>
      </c>
      <c r="AX27" s="5">
        <v>7074.67822265625</v>
      </c>
      <c r="AY27" s="5">
        <v>7513.1279353219097</v>
      </c>
      <c r="AZ27" s="4">
        <v>0.102126330137253</v>
      </c>
      <c r="BA27" s="5">
        <v>767.28818388610205</v>
      </c>
      <c r="BB27" s="5">
        <v>175499184</v>
      </c>
      <c r="BC27" s="5">
        <v>7074.67822265625</v>
      </c>
      <c r="BD27" s="5">
        <v>12786.5989919273</v>
      </c>
      <c r="BE27" s="5">
        <v>0</v>
      </c>
      <c r="BF27" s="5">
        <v>209.03778656746701</v>
      </c>
      <c r="BG27" s="5">
        <v>0</v>
      </c>
      <c r="BH27" s="1">
        <v>1901.2022081822799</v>
      </c>
      <c r="BI27" s="1">
        <v>46.817599999999999</v>
      </c>
      <c r="BJ27">
        <v>0.34893299999999999</v>
      </c>
      <c r="BK27">
        <v>142.999833</v>
      </c>
      <c r="BL27" t="s">
        <v>383</v>
      </c>
      <c r="BM27" t="s">
        <v>382</v>
      </c>
      <c r="BN27">
        <v>1.1830000000000001</v>
      </c>
    </row>
    <row r="28" spans="1:66" x14ac:dyDescent="0.25">
      <c r="A28" t="s">
        <v>205</v>
      </c>
      <c r="B28" t="s">
        <v>206</v>
      </c>
      <c r="C28" t="s">
        <v>207</v>
      </c>
      <c r="D28" t="b">
        <v>1</v>
      </c>
      <c r="E28" s="2" t="s">
        <v>90</v>
      </c>
      <c r="F28" s="2">
        <v>31.1</v>
      </c>
      <c r="G28" s="2">
        <v>41.253028881459997</v>
      </c>
      <c r="H28" s="2">
        <v>38.9113610678586</v>
      </c>
      <c r="I28" s="3">
        <v>6.4077081930728603</v>
      </c>
      <c r="J28" s="3">
        <v>6.9517476163245604</v>
      </c>
      <c r="K28" s="3">
        <v>48</v>
      </c>
      <c r="L28" s="3">
        <v>3</v>
      </c>
      <c r="M28" s="3">
        <v>6</v>
      </c>
      <c r="N28" s="3"/>
      <c r="O28" s="3"/>
      <c r="P28" s="3"/>
      <c r="Q28" s="3">
        <v>-5.6763536571584797E-2</v>
      </c>
      <c r="R28" t="s">
        <v>208</v>
      </c>
      <c r="S28" s="1">
        <v>121.2055</v>
      </c>
      <c r="T28" t="s">
        <v>209</v>
      </c>
      <c r="U28" s="3">
        <v>5.0860000000000003</v>
      </c>
      <c r="V28" s="2">
        <v>30.07</v>
      </c>
      <c r="W28" s="2">
        <v>2.88</v>
      </c>
      <c r="X28" s="2">
        <v>4.7300000000000004</v>
      </c>
      <c r="Y28" s="3">
        <v>5.5540000000000003</v>
      </c>
      <c r="Z28" s="5">
        <v>1599</v>
      </c>
      <c r="AA28" s="2">
        <v>30.8</v>
      </c>
      <c r="AB28" s="3">
        <v>7.4340000000000002</v>
      </c>
      <c r="AC28" s="5">
        <v>808.35152461649795</v>
      </c>
      <c r="AD28" s="5">
        <v>742.10371266479797</v>
      </c>
      <c r="AE28" s="5">
        <v>757.02202418450099</v>
      </c>
      <c r="AF28" s="5">
        <v>1897.6393285471599</v>
      </c>
      <c r="AG28" s="5">
        <v>1789.9226091215</v>
      </c>
      <c r="AH28" s="2">
        <v>3.8961079069782798</v>
      </c>
      <c r="AI28" s="2">
        <v>7.6297416221883898</v>
      </c>
      <c r="AJ28" s="2">
        <v>2.0936307192741501</v>
      </c>
      <c r="AK28" s="5">
        <v>391238189415.15302</v>
      </c>
      <c r="AL28" s="5">
        <v>967424545580.55005</v>
      </c>
      <c r="AM28" s="5">
        <v>2891.31614271126</v>
      </c>
      <c r="AN28" s="5">
        <v>2891.31614271126</v>
      </c>
      <c r="AO28" s="5">
        <v>4590.1857045664701</v>
      </c>
      <c r="AP28" s="5">
        <v>27381.5893359451</v>
      </c>
      <c r="AQ28" s="4">
        <v>9.4702854978248006</v>
      </c>
      <c r="AR28" s="5">
        <v>336672640</v>
      </c>
      <c r="AS28" s="5">
        <v>367289596</v>
      </c>
      <c r="AT28" s="4">
        <v>0.185218335090132</v>
      </c>
      <c r="AU28" s="4">
        <v>0.22650602372310399</v>
      </c>
      <c r="AV28" s="5">
        <v>6519.4917618364798</v>
      </c>
      <c r="AW28" s="5">
        <v>269.17474590793199</v>
      </c>
      <c r="AX28" s="5">
        <v>2800.90112304688</v>
      </c>
      <c r="AY28" s="5">
        <v>2891.31614271126</v>
      </c>
      <c r="AZ28" s="4">
        <v>8.5592247545719105E-2</v>
      </c>
      <c r="BA28" s="5">
        <v>247.474247019876</v>
      </c>
      <c r="BB28" s="5">
        <v>135314912</v>
      </c>
      <c r="BC28" s="5">
        <v>2800.90112304688</v>
      </c>
      <c r="BD28" s="5">
        <v>7367.5833238267496</v>
      </c>
      <c r="BE28" s="5">
        <v>0</v>
      </c>
      <c r="BF28" s="5">
        <v>30.536853105530099</v>
      </c>
      <c r="BG28" s="5">
        <v>0</v>
      </c>
      <c r="BH28" s="1">
        <v>1901.2022081822799</v>
      </c>
      <c r="BI28" s="1">
        <v>36.518000000000001</v>
      </c>
      <c r="BJ28">
        <v>0.64140399999999997</v>
      </c>
      <c r="BK28">
        <v>188.96909500000001</v>
      </c>
      <c r="BL28" t="s">
        <v>383</v>
      </c>
      <c r="BM28" t="s">
        <v>382</v>
      </c>
      <c r="BN28">
        <v>3.6840000000000002</v>
      </c>
    </row>
    <row r="29" spans="1:66" x14ac:dyDescent="0.25">
      <c r="A29" t="s">
        <v>210</v>
      </c>
      <c r="B29" t="s">
        <v>211</v>
      </c>
      <c r="C29" t="s">
        <v>212</v>
      </c>
      <c r="D29" t="b">
        <v>1</v>
      </c>
      <c r="E29" s="2" t="s">
        <v>213</v>
      </c>
      <c r="F29" s="2">
        <v>38.89</v>
      </c>
      <c r="G29" s="2">
        <v>51.060978305825898</v>
      </c>
      <c r="H29" s="2">
        <v>47.5423565613007</v>
      </c>
      <c r="I29" s="3">
        <v>1.14704124632188</v>
      </c>
      <c r="J29" s="3">
        <v>5.6907881789298704</v>
      </c>
      <c r="K29" s="3">
        <v>52</v>
      </c>
      <c r="L29" s="3">
        <v>3</v>
      </c>
      <c r="M29" s="3">
        <v>6</v>
      </c>
      <c r="N29" s="3"/>
      <c r="O29" s="3"/>
      <c r="P29" s="3"/>
      <c r="Q29" s="3">
        <v>-6.8910190546108294E-2</v>
      </c>
      <c r="R29" t="s">
        <v>214</v>
      </c>
      <c r="S29" s="1">
        <v>69.763499999999993</v>
      </c>
      <c r="T29" t="s">
        <v>215</v>
      </c>
      <c r="U29" s="3">
        <v>2.9750000000000001</v>
      </c>
      <c r="V29" s="2">
        <v>39.31</v>
      </c>
      <c r="W29" s="2">
        <v>5.46</v>
      </c>
      <c r="X29" s="2">
        <v>7.32</v>
      </c>
      <c r="Y29" s="3">
        <v>2.9279999999999999</v>
      </c>
      <c r="Z29" s="5">
        <v>2035</v>
      </c>
      <c r="AA29" s="2">
        <v>39.1</v>
      </c>
      <c r="AB29" s="3">
        <v>5.2370000000000001</v>
      </c>
      <c r="AC29" s="5">
        <v>980.81303446337097</v>
      </c>
      <c r="AD29" s="5">
        <v>918.111437200762</v>
      </c>
      <c r="AE29" s="5">
        <v>931.67253200560504</v>
      </c>
      <c r="AF29" s="5">
        <v>2348.8050020679898</v>
      </c>
      <c r="AG29" s="5">
        <v>2186.94840181983</v>
      </c>
      <c r="AH29" s="2">
        <v>5.1304420112241802</v>
      </c>
      <c r="AI29" s="2">
        <v>8.9233134636862808</v>
      </c>
      <c r="AJ29" s="2">
        <v>4.5774430537079702</v>
      </c>
      <c r="AK29" s="5">
        <v>270720429344.18399</v>
      </c>
      <c r="AL29" s="5">
        <v>562760630110.40698</v>
      </c>
      <c r="AM29" s="5">
        <v>4710.3174884002001</v>
      </c>
      <c r="AN29" s="5">
        <v>4710.3174884002001</v>
      </c>
      <c r="AO29" s="5">
        <v>7010.1682976997499</v>
      </c>
      <c r="AP29" s="5">
        <v>36291.922365351798</v>
      </c>
      <c r="AQ29" s="4">
        <v>7.7047720147793797</v>
      </c>
      <c r="AR29" s="5">
        <v>97213992</v>
      </c>
      <c r="AS29" s="5">
        <v>104195500</v>
      </c>
      <c r="AT29" s="4">
        <v>0.185218335090132</v>
      </c>
      <c r="AU29" s="4">
        <v>0.22650602372310299</v>
      </c>
      <c r="AV29" s="5">
        <v>9493.9763887596491</v>
      </c>
      <c r="AW29" s="5">
        <v>391.984341027894</v>
      </c>
      <c r="AX29" s="5">
        <v>4548.2041015625</v>
      </c>
      <c r="AY29" s="5">
        <v>4710.3174884002001</v>
      </c>
      <c r="AZ29" s="4">
        <v>0.106389611959457</v>
      </c>
      <c r="BA29" s="5">
        <v>501.128849796743</v>
      </c>
      <c r="BB29" s="5">
        <v>57473924</v>
      </c>
      <c r="BC29" s="5">
        <v>4548.2041015625</v>
      </c>
      <c r="BD29" s="5">
        <v>9559.2752134116708</v>
      </c>
      <c r="BE29" s="5">
        <v>0</v>
      </c>
      <c r="BF29" s="5">
        <v>69.347404926860804</v>
      </c>
      <c r="BG29" s="5">
        <v>0</v>
      </c>
      <c r="BH29" s="1">
        <v>1901.2022081822799</v>
      </c>
      <c r="BI29" s="1">
        <v>71.953100000000006</v>
      </c>
      <c r="BJ29">
        <v>0.46381499999999998</v>
      </c>
      <c r="BK29">
        <v>150.412395</v>
      </c>
      <c r="BL29" t="s">
        <v>383</v>
      </c>
      <c r="BM29" t="s">
        <v>382</v>
      </c>
      <c r="BN29">
        <v>1.0760000000000001</v>
      </c>
    </row>
    <row r="30" spans="1:66" x14ac:dyDescent="0.25">
      <c r="A30" t="s">
        <v>216</v>
      </c>
      <c r="B30" t="s">
        <v>217</v>
      </c>
      <c r="C30" t="s">
        <v>218</v>
      </c>
      <c r="D30" t="b">
        <v>1</v>
      </c>
      <c r="E30" s="2" t="s">
        <v>137</v>
      </c>
      <c r="F30" s="2">
        <v>35.93</v>
      </c>
      <c r="G30" s="2">
        <v>37.915651217805902</v>
      </c>
      <c r="H30" s="2">
        <v>35.974468723843103</v>
      </c>
      <c r="I30" s="3">
        <v>3.3952330643319799</v>
      </c>
      <c r="J30" s="3">
        <v>6.8913908854283603</v>
      </c>
      <c r="K30" s="3">
        <v>45</v>
      </c>
      <c r="L30" s="3">
        <v>3</v>
      </c>
      <c r="M30" s="3">
        <v>6</v>
      </c>
      <c r="N30" s="3"/>
      <c r="O30" s="3"/>
      <c r="P30" s="3"/>
      <c r="Q30" s="3">
        <v>-5.1197392939703899E-2</v>
      </c>
      <c r="R30" t="s">
        <v>219</v>
      </c>
      <c r="S30" s="1">
        <v>1488.1375</v>
      </c>
      <c r="T30" t="s">
        <v>220</v>
      </c>
      <c r="U30" s="3">
        <v>1.4119999999999999</v>
      </c>
      <c r="V30" s="2">
        <v>35.07</v>
      </c>
      <c r="W30" s="2">
        <v>2.06</v>
      </c>
      <c r="X30" s="2">
        <v>2.37</v>
      </c>
      <c r="Y30" s="3">
        <v>1.597</v>
      </c>
      <c r="Z30" s="5">
        <v>1841</v>
      </c>
      <c r="AA30" s="2">
        <v>35.4</v>
      </c>
      <c r="AB30" s="3">
        <v>2.2349999999999999</v>
      </c>
      <c r="AC30" s="5">
        <v>636.91063960701695</v>
      </c>
      <c r="AD30" s="5">
        <v>558.14140064985497</v>
      </c>
      <c r="AE30" s="5">
        <v>592.70830137168798</v>
      </c>
      <c r="AF30" s="5">
        <v>1744.1199560190701</v>
      </c>
      <c r="AG30" s="5">
        <v>1654.8255612967801</v>
      </c>
      <c r="AH30" s="2">
        <v>2.0778664435076402</v>
      </c>
      <c r="AI30" s="2">
        <v>4.0461773214903403</v>
      </c>
      <c r="AJ30" s="2">
        <v>1.4880326637993799</v>
      </c>
      <c r="AK30" s="5">
        <v>130607487058.228</v>
      </c>
      <c r="AL30" s="5">
        <v>351851166282.69</v>
      </c>
      <c r="AM30" s="5">
        <v>1159.74328714269</v>
      </c>
      <c r="AN30" s="5">
        <v>1159.74328714269</v>
      </c>
      <c r="AO30" s="5">
        <v>1665.5288407115199</v>
      </c>
      <c r="AP30" s="5">
        <v>14015.917899661499</v>
      </c>
      <c r="AQ30" s="4">
        <v>12.0853623858372</v>
      </c>
      <c r="AR30" s="5">
        <v>369016192</v>
      </c>
      <c r="AS30" s="5">
        <v>430709445</v>
      </c>
      <c r="AT30" s="4">
        <v>0.185218335090131</v>
      </c>
      <c r="AU30" s="4">
        <v>0.22650602372310399</v>
      </c>
      <c r="AV30" s="5">
        <v>3156.0949509532002</v>
      </c>
      <c r="AW30" s="5">
        <v>130.30786563105499</v>
      </c>
      <c r="AX30" s="5">
        <v>1130.111328125</v>
      </c>
      <c r="AY30" s="5">
        <v>1159.74328714269</v>
      </c>
      <c r="AZ30" s="4">
        <v>4.6908821910619701E-2</v>
      </c>
      <c r="BA30" s="5">
        <v>54.402191318613198</v>
      </c>
      <c r="BB30" s="5">
        <v>112617584</v>
      </c>
      <c r="BC30" s="5">
        <v>1130.111328125</v>
      </c>
      <c r="BD30" s="5">
        <v>4117.6303394322404</v>
      </c>
      <c r="BE30" s="5">
        <v>0</v>
      </c>
      <c r="BF30" s="5">
        <v>15.7886656250428</v>
      </c>
      <c r="BG30" s="5">
        <v>0</v>
      </c>
      <c r="BH30" s="1">
        <v>1901.2022081822799</v>
      </c>
      <c r="BI30" s="1">
        <v>1603.6632</v>
      </c>
      <c r="BJ30">
        <v>0.560477</v>
      </c>
      <c r="BK30">
        <v>2655.1268660000001</v>
      </c>
      <c r="BL30" t="s">
        <v>383</v>
      </c>
      <c r="BM30" t="s">
        <v>382</v>
      </c>
      <c r="BN30">
        <v>1.03</v>
      </c>
    </row>
    <row r="31" spans="1:66" x14ac:dyDescent="0.25">
      <c r="A31" t="s">
        <v>221</v>
      </c>
      <c r="C31" t="s">
        <v>222</v>
      </c>
      <c r="D31" t="b">
        <v>1</v>
      </c>
      <c r="E31" s="2"/>
      <c r="F31" s="2"/>
      <c r="G31" s="2">
        <v>44.1702229968352</v>
      </c>
      <c r="H31" s="2">
        <v>37.889517079460603</v>
      </c>
      <c r="I31" s="3">
        <v>-1.3873989552778001</v>
      </c>
      <c r="J31" s="3">
        <v>2.7327415185044899</v>
      </c>
      <c r="K31" s="3"/>
      <c r="L31" s="3"/>
      <c r="M31" s="3"/>
      <c r="N31" s="3"/>
      <c r="O31" s="3"/>
      <c r="P31" s="3"/>
      <c r="Q31" s="3">
        <v>-0.14219321278555999</v>
      </c>
      <c r="R31" t="s">
        <v>96</v>
      </c>
      <c r="S31" s="1">
        <v>0.83379999999999999</v>
      </c>
      <c r="U31" s="3"/>
      <c r="V31" s="2"/>
      <c r="W31" s="2"/>
      <c r="X31" s="2"/>
      <c r="Y31" s="3"/>
      <c r="Z31" s="5"/>
      <c r="AA31" s="2"/>
      <c r="AB31" s="3"/>
      <c r="AC31" s="5">
        <v>927.98121705802498</v>
      </c>
      <c r="AD31" s="5">
        <v>880.88360360961497</v>
      </c>
      <c r="AE31" s="5">
        <v>797.69479060343895</v>
      </c>
      <c r="AF31" s="5">
        <v>2031.8302578544201</v>
      </c>
      <c r="AG31" s="5">
        <v>1742.9177856551901</v>
      </c>
      <c r="AH31" s="2">
        <v>12.970941933859599</v>
      </c>
      <c r="AI31" s="2">
        <v>16.984794369985899</v>
      </c>
      <c r="AJ31" s="2">
        <v>14.915828264864</v>
      </c>
      <c r="AK31" s="5">
        <v>2315534983758.6899</v>
      </c>
      <c r="AL31" s="5">
        <v>2914526430106.6299</v>
      </c>
      <c r="AM31" s="5">
        <v>11425.8900729093</v>
      </c>
      <c r="AN31" s="5">
        <v>11425.8900729093</v>
      </c>
      <c r="AO31" s="5">
        <v>14762.944584455299</v>
      </c>
      <c r="AP31" s="5">
        <v>77798.506745767998</v>
      </c>
      <c r="AQ31" s="4">
        <v>6.8089668506638201</v>
      </c>
      <c r="AR31" s="5">
        <v>193476710.758789</v>
      </c>
      <c r="AS31" s="5">
        <v>219743992</v>
      </c>
      <c r="AT31" s="4">
        <v>0.23300669561146301</v>
      </c>
      <c r="AU31" s="4">
        <v>0.25737153733767199</v>
      </c>
      <c r="AV31" s="5">
        <v>14497.2098173104</v>
      </c>
      <c r="AW31" s="5">
        <v>353.22222267041502</v>
      </c>
      <c r="AX31" s="5">
        <v>10856.6064453125</v>
      </c>
      <c r="AY31" s="5">
        <v>11425.8900729093</v>
      </c>
      <c r="AZ31" s="4">
        <v>8.6478224237302004E-2</v>
      </c>
      <c r="BA31" s="5">
        <v>988.090683835812</v>
      </c>
      <c r="BB31" s="5">
        <v>202656858.15136701</v>
      </c>
      <c r="BC31" s="5">
        <v>10856.6064453125</v>
      </c>
      <c r="BD31" s="5">
        <v>13513.540213279201</v>
      </c>
      <c r="BE31" s="5">
        <v>0</v>
      </c>
      <c r="BF31" s="5">
        <v>506.776252715608</v>
      </c>
      <c r="BG31" s="5">
        <v>0</v>
      </c>
      <c r="BH31" s="1">
        <v>1901.2022081822799</v>
      </c>
      <c r="BI31" s="1"/>
      <c r="BJ31">
        <v>0.71886000000000005</v>
      </c>
      <c r="BK31">
        <v>1.159921</v>
      </c>
      <c r="BL31" t="s">
        <v>383</v>
      </c>
      <c r="BM31" t="s">
        <v>382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32.7109375" customWidth="1"/>
    <col min="2" max="2" width="78.7109375" customWidth="1"/>
    <col min="3" max="3" width="26.7109375" customWidth="1"/>
    <col min="4" max="4" width="56.7109375" customWidth="1"/>
    <col min="5" max="5" width="46.7109375" customWidth="1"/>
  </cols>
  <sheetData>
    <row r="1" spans="1:5" x14ac:dyDescent="0.25">
      <c r="A1" s="9" t="s">
        <v>223</v>
      </c>
      <c r="B1" s="9" t="s">
        <v>224</v>
      </c>
      <c r="C1" s="9" t="s">
        <v>225</v>
      </c>
      <c r="D1" s="9" t="s">
        <v>226</v>
      </c>
      <c r="E1" s="9" t="s">
        <v>227</v>
      </c>
    </row>
    <row r="2" spans="1:5" x14ac:dyDescent="0.25">
      <c r="A2" t="s">
        <v>12</v>
      </c>
      <c r="B2" t="s">
        <v>228</v>
      </c>
      <c r="D2" t="s">
        <v>229</v>
      </c>
      <c r="E2" t="s">
        <v>230</v>
      </c>
    </row>
    <row r="3" spans="1:5" x14ac:dyDescent="0.25">
      <c r="A3" t="s">
        <v>13</v>
      </c>
      <c r="B3" t="s">
        <v>231</v>
      </c>
      <c r="D3" t="s">
        <v>232</v>
      </c>
      <c r="E3" t="s">
        <v>233</v>
      </c>
    </row>
    <row r="4" spans="1:5" x14ac:dyDescent="0.25">
      <c r="A4" t="s">
        <v>14</v>
      </c>
      <c r="B4" t="s">
        <v>234</v>
      </c>
      <c r="D4" t="s">
        <v>235</v>
      </c>
      <c r="E4" t="s">
        <v>236</v>
      </c>
    </row>
    <row r="5" spans="1:5" x14ac:dyDescent="0.25">
      <c r="A5" t="s">
        <v>15</v>
      </c>
      <c r="B5" t="s">
        <v>237</v>
      </c>
      <c r="C5" t="s">
        <v>238</v>
      </c>
      <c r="D5" t="s">
        <v>239</v>
      </c>
      <c r="E5" t="s">
        <v>240</v>
      </c>
    </row>
    <row r="6" spans="1:5" x14ac:dyDescent="0.25">
      <c r="A6" t="s">
        <v>16</v>
      </c>
      <c r="B6" t="s">
        <v>241</v>
      </c>
      <c r="C6" t="s">
        <v>242</v>
      </c>
      <c r="D6" t="s">
        <v>243</v>
      </c>
      <c r="E6" t="s">
        <v>244</v>
      </c>
    </row>
    <row r="7" spans="1:5" x14ac:dyDescent="0.25">
      <c r="A7" t="s">
        <v>28</v>
      </c>
      <c r="B7" t="s">
        <v>245</v>
      </c>
      <c r="D7" t="s">
        <v>246</v>
      </c>
      <c r="E7" t="s">
        <v>247</v>
      </c>
    </row>
    <row r="8" spans="1:5" x14ac:dyDescent="0.25">
      <c r="A8" t="s">
        <v>17</v>
      </c>
      <c r="B8" t="s">
        <v>248</v>
      </c>
      <c r="C8" t="s">
        <v>242</v>
      </c>
      <c r="D8" t="s">
        <v>249</v>
      </c>
      <c r="E8" t="s">
        <v>250</v>
      </c>
    </row>
    <row r="9" spans="1:5" x14ac:dyDescent="0.25">
      <c r="A9" t="s">
        <v>29</v>
      </c>
      <c r="B9" t="s">
        <v>251</v>
      </c>
      <c r="C9" t="s">
        <v>252</v>
      </c>
      <c r="D9" t="s">
        <v>253</v>
      </c>
      <c r="E9" t="s">
        <v>254</v>
      </c>
    </row>
    <row r="10" spans="1:5" x14ac:dyDescent="0.25">
      <c r="A10" t="s">
        <v>30</v>
      </c>
      <c r="B10" t="s">
        <v>255</v>
      </c>
      <c r="C10" t="s">
        <v>242</v>
      </c>
      <c r="D10" t="s">
        <v>256</v>
      </c>
      <c r="E10" t="s">
        <v>257</v>
      </c>
    </row>
    <row r="11" spans="1:5" x14ac:dyDescent="0.25">
      <c r="A11" t="s">
        <v>31</v>
      </c>
      <c r="B11" t="s">
        <v>258</v>
      </c>
      <c r="C11" t="s">
        <v>259</v>
      </c>
      <c r="D11" t="s">
        <v>260</v>
      </c>
      <c r="E11" t="s">
        <v>261</v>
      </c>
    </row>
    <row r="12" spans="1:5" x14ac:dyDescent="0.25">
      <c r="A12" t="s">
        <v>32</v>
      </c>
      <c r="B12" t="s">
        <v>262</v>
      </c>
      <c r="C12" t="s">
        <v>259</v>
      </c>
      <c r="D12" t="s">
        <v>260</v>
      </c>
      <c r="E12" t="s">
        <v>261</v>
      </c>
    </row>
    <row r="13" spans="1:5" x14ac:dyDescent="0.25">
      <c r="A13" t="s">
        <v>33</v>
      </c>
      <c r="B13" t="s">
        <v>263</v>
      </c>
      <c r="C13" t="s">
        <v>252</v>
      </c>
      <c r="D13" t="s">
        <v>260</v>
      </c>
      <c r="E13" t="s">
        <v>264</v>
      </c>
    </row>
    <row r="14" spans="1:5" x14ac:dyDescent="0.25">
      <c r="A14" t="s">
        <v>34</v>
      </c>
      <c r="B14" t="s">
        <v>265</v>
      </c>
      <c r="C14" t="s">
        <v>266</v>
      </c>
      <c r="D14" t="s">
        <v>267</v>
      </c>
      <c r="E14" t="s">
        <v>268</v>
      </c>
    </row>
    <row r="15" spans="1:5" x14ac:dyDescent="0.25">
      <c r="A15" t="s">
        <v>35</v>
      </c>
      <c r="B15" t="s">
        <v>269</v>
      </c>
      <c r="C15" t="s">
        <v>242</v>
      </c>
      <c r="D15" t="s">
        <v>270</v>
      </c>
      <c r="E15" t="s">
        <v>268</v>
      </c>
    </row>
    <row r="16" spans="1:5" x14ac:dyDescent="0.25">
      <c r="A16" t="s">
        <v>36</v>
      </c>
      <c r="B16" t="s">
        <v>271</v>
      </c>
      <c r="C16" t="s">
        <v>252</v>
      </c>
      <c r="D16" t="s">
        <v>267</v>
      </c>
      <c r="E16" t="s">
        <v>272</v>
      </c>
    </row>
    <row r="17" spans="1:5" x14ac:dyDescent="0.25">
      <c r="A17" t="s">
        <v>37</v>
      </c>
      <c r="B17" t="s">
        <v>273</v>
      </c>
      <c r="C17" t="s">
        <v>274</v>
      </c>
      <c r="D17" t="s">
        <v>275</v>
      </c>
      <c r="E17" t="s">
        <v>276</v>
      </c>
    </row>
    <row r="18" spans="1:5" x14ac:dyDescent="0.25">
      <c r="A18" t="s">
        <v>38</v>
      </c>
      <c r="B18" t="s">
        <v>277</v>
      </c>
      <c r="C18" t="s">
        <v>274</v>
      </c>
      <c r="D18" t="s">
        <v>278</v>
      </c>
      <c r="E18" t="s">
        <v>279</v>
      </c>
    </row>
    <row r="19" spans="1:5" x14ac:dyDescent="0.25">
      <c r="A19" t="s">
        <v>39</v>
      </c>
      <c r="B19" t="s">
        <v>280</v>
      </c>
      <c r="C19" t="s">
        <v>274</v>
      </c>
      <c r="D19" t="s">
        <v>278</v>
      </c>
      <c r="E19" t="s">
        <v>281</v>
      </c>
    </row>
    <row r="20" spans="1:5" x14ac:dyDescent="0.25">
      <c r="A20" t="s">
        <v>40</v>
      </c>
      <c r="B20" t="s">
        <v>282</v>
      </c>
      <c r="C20" t="s">
        <v>283</v>
      </c>
      <c r="D20" t="s">
        <v>284</v>
      </c>
      <c r="E20" t="s">
        <v>285</v>
      </c>
    </row>
    <row r="21" spans="1:5" x14ac:dyDescent="0.25">
      <c r="A21" t="s">
        <v>41</v>
      </c>
      <c r="B21" t="s">
        <v>286</v>
      </c>
      <c r="C21" t="s">
        <v>283</v>
      </c>
      <c r="D21" t="s">
        <v>284</v>
      </c>
      <c r="E21" t="s">
        <v>285</v>
      </c>
    </row>
    <row r="22" spans="1:5" x14ac:dyDescent="0.25">
      <c r="A22" t="s">
        <v>42</v>
      </c>
      <c r="B22" t="s">
        <v>287</v>
      </c>
      <c r="C22" t="s">
        <v>288</v>
      </c>
      <c r="D22" t="s">
        <v>289</v>
      </c>
      <c r="E22" t="s">
        <v>290</v>
      </c>
    </row>
    <row r="23" spans="1:5" x14ac:dyDescent="0.25">
      <c r="A23" t="s">
        <v>43</v>
      </c>
      <c r="B23" t="s">
        <v>291</v>
      </c>
      <c r="C23" t="s">
        <v>288</v>
      </c>
      <c r="D23" t="s">
        <v>289</v>
      </c>
      <c r="E23" t="s">
        <v>290</v>
      </c>
    </row>
    <row r="24" spans="1:5" x14ac:dyDescent="0.25">
      <c r="A24" t="s">
        <v>44</v>
      </c>
      <c r="B24" t="s">
        <v>292</v>
      </c>
      <c r="C24" t="s">
        <v>288</v>
      </c>
      <c r="D24" t="s">
        <v>289</v>
      </c>
      <c r="E24" t="s">
        <v>293</v>
      </c>
    </row>
    <row r="25" spans="1:5" x14ac:dyDescent="0.25">
      <c r="A25" t="s">
        <v>20</v>
      </c>
      <c r="B25" t="s">
        <v>294</v>
      </c>
      <c r="C25" t="s">
        <v>252</v>
      </c>
      <c r="D25" t="s">
        <v>295</v>
      </c>
      <c r="E25" t="s">
        <v>296</v>
      </c>
    </row>
    <row r="26" spans="1:5" x14ac:dyDescent="0.25">
      <c r="A26" t="s">
        <v>21</v>
      </c>
      <c r="B26" t="s">
        <v>297</v>
      </c>
      <c r="C26" t="s">
        <v>252</v>
      </c>
      <c r="D26" t="s">
        <v>295</v>
      </c>
      <c r="E26" t="s">
        <v>298</v>
      </c>
    </row>
    <row r="27" spans="1:5" x14ac:dyDescent="0.25">
      <c r="A27" t="s">
        <v>25</v>
      </c>
      <c r="B27" t="s">
        <v>299</v>
      </c>
      <c r="C27" t="s">
        <v>252</v>
      </c>
      <c r="D27" t="s">
        <v>300</v>
      </c>
      <c r="E27" t="s">
        <v>301</v>
      </c>
    </row>
    <row r="28" spans="1:5" x14ac:dyDescent="0.25">
      <c r="A28" t="s">
        <v>19</v>
      </c>
      <c r="B28" t="s">
        <v>302</v>
      </c>
      <c r="C28" t="s">
        <v>242</v>
      </c>
      <c r="D28" t="s">
        <v>300</v>
      </c>
      <c r="E28" t="s">
        <v>303</v>
      </c>
    </row>
    <row r="29" spans="1:5" x14ac:dyDescent="0.25">
      <c r="A29" t="s">
        <v>45</v>
      </c>
      <c r="B29" t="s">
        <v>304</v>
      </c>
      <c r="C29" t="s">
        <v>305</v>
      </c>
      <c r="D29" t="s">
        <v>306</v>
      </c>
      <c r="E29" t="s">
        <v>307</v>
      </c>
    </row>
    <row r="30" spans="1:5" x14ac:dyDescent="0.25">
      <c r="A30" t="s">
        <v>46</v>
      </c>
      <c r="B30" t="s">
        <v>308</v>
      </c>
      <c r="C30" t="s">
        <v>305</v>
      </c>
      <c r="D30" t="s">
        <v>306</v>
      </c>
      <c r="E30" t="s">
        <v>309</v>
      </c>
    </row>
    <row r="31" spans="1:5" x14ac:dyDescent="0.25">
      <c r="A31" t="s">
        <v>47</v>
      </c>
      <c r="B31" t="s">
        <v>310</v>
      </c>
      <c r="C31" t="s">
        <v>311</v>
      </c>
      <c r="D31" t="s">
        <v>312</v>
      </c>
      <c r="E31" t="s">
        <v>313</v>
      </c>
    </row>
    <row r="32" spans="1:5" x14ac:dyDescent="0.25">
      <c r="A32" t="s">
        <v>48</v>
      </c>
      <c r="B32" t="s">
        <v>314</v>
      </c>
      <c r="C32" t="s">
        <v>311</v>
      </c>
      <c r="D32" t="s">
        <v>315</v>
      </c>
      <c r="E32" t="s">
        <v>316</v>
      </c>
    </row>
    <row r="33" spans="1:5" x14ac:dyDescent="0.25">
      <c r="A33" t="s">
        <v>49</v>
      </c>
      <c r="B33" t="s">
        <v>317</v>
      </c>
      <c r="C33" t="s">
        <v>311</v>
      </c>
      <c r="D33" t="s">
        <v>315</v>
      </c>
      <c r="E33" t="s">
        <v>318</v>
      </c>
    </row>
    <row r="34" spans="1:5" x14ac:dyDescent="0.25">
      <c r="A34" t="s">
        <v>50</v>
      </c>
      <c r="B34" t="s">
        <v>319</v>
      </c>
      <c r="C34" t="s">
        <v>311</v>
      </c>
      <c r="D34" t="s">
        <v>315</v>
      </c>
      <c r="E34" t="s">
        <v>316</v>
      </c>
    </row>
    <row r="35" spans="1:5" x14ac:dyDescent="0.25">
      <c r="A35" t="s">
        <v>51</v>
      </c>
      <c r="B35" t="s">
        <v>320</v>
      </c>
      <c r="C35" t="s">
        <v>321</v>
      </c>
      <c r="D35" t="s">
        <v>322</v>
      </c>
      <c r="E35" t="s">
        <v>323</v>
      </c>
    </row>
    <row r="36" spans="1:5" x14ac:dyDescent="0.25">
      <c r="A36" t="s">
        <v>52</v>
      </c>
      <c r="B36" t="s">
        <v>324</v>
      </c>
      <c r="C36" t="s">
        <v>325</v>
      </c>
      <c r="D36" t="s">
        <v>326</v>
      </c>
      <c r="E36" t="s">
        <v>327</v>
      </c>
    </row>
    <row r="37" spans="1:5" x14ac:dyDescent="0.25">
      <c r="A37" t="s">
        <v>53</v>
      </c>
      <c r="B37" t="s">
        <v>328</v>
      </c>
      <c r="C37" t="s">
        <v>325</v>
      </c>
      <c r="D37" t="s">
        <v>329</v>
      </c>
      <c r="E37" t="s">
        <v>330</v>
      </c>
    </row>
    <row r="38" spans="1:5" x14ac:dyDescent="0.25">
      <c r="A38" t="s">
        <v>54</v>
      </c>
      <c r="B38" t="s">
        <v>331</v>
      </c>
      <c r="C38" t="s">
        <v>332</v>
      </c>
      <c r="D38" t="s">
        <v>333</v>
      </c>
      <c r="E38" t="s">
        <v>334</v>
      </c>
    </row>
    <row r="39" spans="1:5" x14ac:dyDescent="0.25">
      <c r="A39" t="s">
        <v>55</v>
      </c>
      <c r="B39" t="s">
        <v>335</v>
      </c>
      <c r="C39" t="s">
        <v>332</v>
      </c>
      <c r="D39" t="s">
        <v>333</v>
      </c>
      <c r="E39" t="s">
        <v>334</v>
      </c>
    </row>
    <row r="40" spans="1:5" x14ac:dyDescent="0.25">
      <c r="A40" t="s">
        <v>56</v>
      </c>
      <c r="B40" t="s">
        <v>336</v>
      </c>
      <c r="C40" t="s">
        <v>311</v>
      </c>
      <c r="D40" t="s">
        <v>337</v>
      </c>
      <c r="E40" t="s">
        <v>334</v>
      </c>
    </row>
    <row r="41" spans="1:5" x14ac:dyDescent="0.25">
      <c r="A41" t="s">
        <v>57</v>
      </c>
      <c r="B41" t="s">
        <v>338</v>
      </c>
      <c r="C41" t="s">
        <v>339</v>
      </c>
      <c r="D41" t="s">
        <v>340</v>
      </c>
      <c r="E41" t="s">
        <v>341</v>
      </c>
    </row>
    <row r="42" spans="1:5" x14ac:dyDescent="0.25">
      <c r="A42" t="s">
        <v>58</v>
      </c>
      <c r="B42" t="s">
        <v>342</v>
      </c>
      <c r="C42" t="s">
        <v>339</v>
      </c>
      <c r="D42" t="s">
        <v>343</v>
      </c>
      <c r="E42" t="s">
        <v>344</v>
      </c>
    </row>
    <row r="43" spans="1:5" x14ac:dyDescent="0.25">
      <c r="A43" t="s">
        <v>59</v>
      </c>
      <c r="B43" t="s">
        <v>345</v>
      </c>
      <c r="C43" t="s">
        <v>339</v>
      </c>
      <c r="D43" t="s">
        <v>346</v>
      </c>
      <c r="E43" t="s">
        <v>347</v>
      </c>
    </row>
    <row r="44" spans="1:5" x14ac:dyDescent="0.25">
      <c r="A44" t="s">
        <v>60</v>
      </c>
      <c r="B44" t="s">
        <v>348</v>
      </c>
      <c r="C44" t="s">
        <v>349</v>
      </c>
      <c r="D44" t="s">
        <v>350</v>
      </c>
      <c r="E44" t="s">
        <v>347</v>
      </c>
    </row>
    <row r="45" spans="1:5" x14ac:dyDescent="0.25">
      <c r="A45" t="s">
        <v>61</v>
      </c>
      <c r="B45" t="s">
        <v>351</v>
      </c>
      <c r="C45" t="s">
        <v>339</v>
      </c>
      <c r="D45" t="s">
        <v>352</v>
      </c>
      <c r="E45" t="s">
        <v>353</v>
      </c>
    </row>
    <row r="46" spans="1:5" x14ac:dyDescent="0.25">
      <c r="A46" t="s">
        <v>62</v>
      </c>
      <c r="B46" t="s">
        <v>354</v>
      </c>
      <c r="C46" t="s">
        <v>325</v>
      </c>
      <c r="D46" t="s">
        <v>355</v>
      </c>
      <c r="E46" t="s">
        <v>356</v>
      </c>
    </row>
    <row r="47" spans="1:5" x14ac:dyDescent="0.25">
      <c r="A47" t="s">
        <v>63</v>
      </c>
      <c r="B47" t="s">
        <v>357</v>
      </c>
      <c r="C47" t="s">
        <v>339</v>
      </c>
      <c r="D47" t="s">
        <v>358</v>
      </c>
      <c r="E47" t="s">
        <v>359</v>
      </c>
    </row>
    <row r="48" spans="1:5" x14ac:dyDescent="0.25">
      <c r="A48" t="s">
        <v>64</v>
      </c>
      <c r="B48" t="s">
        <v>360</v>
      </c>
      <c r="C48" t="s">
        <v>339</v>
      </c>
      <c r="D48" t="s">
        <v>361</v>
      </c>
      <c r="E48" t="s">
        <v>362</v>
      </c>
    </row>
    <row r="49" spans="1:5" x14ac:dyDescent="0.25">
      <c r="A49" t="s">
        <v>65</v>
      </c>
      <c r="B49" t="s">
        <v>363</v>
      </c>
      <c r="C49" t="s">
        <v>339</v>
      </c>
      <c r="D49" t="s">
        <v>364</v>
      </c>
      <c r="E49" t="s">
        <v>365</v>
      </c>
    </row>
    <row r="50" spans="1:5" x14ac:dyDescent="0.25">
      <c r="A50" t="s">
        <v>66</v>
      </c>
      <c r="B50" t="s">
        <v>366</v>
      </c>
      <c r="C50" t="s">
        <v>339</v>
      </c>
      <c r="D50" t="s">
        <v>364</v>
      </c>
      <c r="E50" t="s">
        <v>367</v>
      </c>
    </row>
    <row r="51" spans="1:5" x14ac:dyDescent="0.25">
      <c r="A51" t="s">
        <v>67</v>
      </c>
      <c r="B51" t="s">
        <v>368</v>
      </c>
      <c r="C51" t="s">
        <v>339</v>
      </c>
      <c r="D51" t="s">
        <v>369</v>
      </c>
      <c r="E51" t="s">
        <v>347</v>
      </c>
    </row>
    <row r="52" spans="1:5" x14ac:dyDescent="0.25">
      <c r="A52" t="s">
        <v>68</v>
      </c>
      <c r="B52" t="s">
        <v>370</v>
      </c>
      <c r="C52" t="s">
        <v>339</v>
      </c>
      <c r="D52" t="s">
        <v>369</v>
      </c>
      <c r="E52" t="s">
        <v>367</v>
      </c>
    </row>
    <row r="53" spans="1:5" x14ac:dyDescent="0.25">
      <c r="A53" t="s">
        <v>26</v>
      </c>
      <c r="B53" t="s">
        <v>371</v>
      </c>
      <c r="C53" t="s">
        <v>372</v>
      </c>
      <c r="D53" t="s">
        <v>235</v>
      </c>
      <c r="E53" t="s">
        <v>373</v>
      </c>
    </row>
    <row r="54" spans="1:5" x14ac:dyDescent="0.25">
      <c r="A54" t="s">
        <v>27</v>
      </c>
      <c r="B54" t="s">
        <v>384</v>
      </c>
      <c r="C54" t="s">
        <v>385</v>
      </c>
      <c r="D54" t="s">
        <v>386</v>
      </c>
      <c r="E54" t="s">
        <v>374</v>
      </c>
    </row>
    <row r="55" spans="1:5" x14ac:dyDescent="0.25">
      <c r="A55" t="s">
        <v>377</v>
      </c>
      <c r="B55" t="s">
        <v>387</v>
      </c>
      <c r="C55" t="s">
        <v>321</v>
      </c>
      <c r="D55" t="s">
        <v>388</v>
      </c>
      <c r="E55" t="s">
        <v>389</v>
      </c>
    </row>
    <row r="56" spans="1:5" x14ac:dyDescent="0.25">
      <c r="A56" t="s">
        <v>378</v>
      </c>
      <c r="B56" t="s">
        <v>390</v>
      </c>
      <c r="C56" t="s">
        <v>391</v>
      </c>
      <c r="D56" t="s">
        <v>392</v>
      </c>
      <c r="E56" t="s">
        <v>389</v>
      </c>
    </row>
    <row r="57" spans="1:5" x14ac:dyDescent="0.25">
      <c r="A57" t="s">
        <v>379</v>
      </c>
      <c r="B57" t="s">
        <v>393</v>
      </c>
      <c r="C57" t="s">
        <v>372</v>
      </c>
      <c r="D57" t="s">
        <v>392</v>
      </c>
      <c r="E57" t="s">
        <v>394</v>
      </c>
    </row>
    <row r="58" spans="1:5" x14ac:dyDescent="0.25">
      <c r="A58" t="s">
        <v>380</v>
      </c>
      <c r="B58" t="s">
        <v>395</v>
      </c>
      <c r="C58" t="s">
        <v>396</v>
      </c>
      <c r="D58" t="s">
        <v>232</v>
      </c>
      <c r="E58" t="s">
        <v>394</v>
      </c>
    </row>
    <row r="59" spans="1:5" x14ac:dyDescent="0.25">
      <c r="A59" t="s">
        <v>69</v>
      </c>
      <c r="B59" t="s">
        <v>397</v>
      </c>
      <c r="C59" t="s">
        <v>398</v>
      </c>
      <c r="D59" t="s">
        <v>399</v>
      </c>
      <c r="E59" t="s">
        <v>375</v>
      </c>
    </row>
    <row r="60" spans="1:5" x14ac:dyDescent="0.25">
      <c r="A60" t="s">
        <v>381</v>
      </c>
      <c r="B60" t="s">
        <v>400</v>
      </c>
      <c r="C60" t="s">
        <v>321</v>
      </c>
      <c r="D60" t="s">
        <v>376</v>
      </c>
      <c r="E60" t="s">
        <v>375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RowHeight="15" x14ac:dyDescent="0.25"/>
  <cols>
    <col min="1" max="1" width="150.7109375" customWidth="1"/>
  </cols>
  <sheetData>
    <row r="1" spans="1:1" x14ac:dyDescent="0.25">
      <c r="A1" s="8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variables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</dc:creator>
  <cp:lastModifiedBy>fabre</cp:lastModifiedBy>
  <dcterms:created xsi:type="dcterms:W3CDTF">2026-08-31T18:43:42Z</dcterms:created>
  <dcterms:modified xsi:type="dcterms:W3CDTF">2026-09-07T18:28:33Z</dcterms:modified>
</cp:coreProperties>
</file>