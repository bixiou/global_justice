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abre\Documents\www\global_justice\data\Bothe\"/>
    </mc:Choice>
  </mc:AlternateContent>
  <bookViews>
    <workbookView xWindow="-105" yWindow="-105" windowWidth="23145" windowHeight="8400" tabRatio="829"/>
  </bookViews>
  <sheets>
    <sheet name="E5t_fix" sheetId="7" r:id="rId1"/>
    <sheet name="E4t" sheetId="3" r:id="rId2"/>
    <sheet name="E5t" sheetId="6" r:id="rId3"/>
    <sheet name="E4b" sheetId="2" r:id="rId4"/>
    <sheet name="E5b" sheetId="5" r:id="rId5"/>
    <sheet name="TE4f" sheetId="1" r:id="rId6"/>
    <sheet name="TE5f" sheetId="4"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_ISC01" localSheetId="0">#REF!</definedName>
    <definedName name="__ISC01">#REF!</definedName>
    <definedName name="__ISC2" localSheetId="0">#REF!</definedName>
    <definedName name="__ISC2">#REF!</definedName>
    <definedName name="__ISC3" localSheetId="0">#REF!+#REF!</definedName>
    <definedName name="__ISC3">#REF!+#REF!</definedName>
    <definedName name="__ISC567" localSheetId="0">#REF!</definedName>
    <definedName name="__ISC567">#REF!</definedName>
    <definedName name="_10000" localSheetId="0">#REF!</definedName>
    <definedName name="_10000" localSheetId="5">#REF!</definedName>
    <definedName name="_10000" localSheetId="6">#REF!</definedName>
    <definedName name="_10000">#REF!</definedName>
    <definedName name="_1080" localSheetId="0">#REF!</definedName>
    <definedName name="_1080" localSheetId="5">#REF!</definedName>
    <definedName name="_1080" localSheetId="6">#REF!</definedName>
    <definedName name="_1080">#REF!</definedName>
    <definedName name="_1090" localSheetId="0">#REF!</definedName>
    <definedName name="_1090" localSheetId="5">#REF!</definedName>
    <definedName name="_1090" localSheetId="6">#REF!</definedName>
    <definedName name="_1090">#REF!</definedName>
    <definedName name="_1100" localSheetId="0">#REF!</definedName>
    <definedName name="_1100" localSheetId="5">#REF!</definedName>
    <definedName name="_1100" localSheetId="6">#REF!</definedName>
    <definedName name="_1100">#REF!</definedName>
    <definedName name="_1110" localSheetId="0">#REF!</definedName>
    <definedName name="_1110" localSheetId="5">#REF!</definedName>
    <definedName name="_1110" localSheetId="6">#REF!</definedName>
    <definedName name="_1110">#REF!</definedName>
    <definedName name="_2" localSheetId="0">#REF!</definedName>
    <definedName name="_2" localSheetId="5">#REF!</definedName>
    <definedName name="_2" localSheetId="6">#REF!</definedName>
    <definedName name="_2">#REF!</definedName>
    <definedName name="_2010" localSheetId="0">#REF!</definedName>
    <definedName name="_2010" localSheetId="5">#REF!</definedName>
    <definedName name="_2010" localSheetId="6">#REF!</definedName>
    <definedName name="_2010">#REF!</definedName>
    <definedName name="_2080" localSheetId="0">#REF!</definedName>
    <definedName name="_2080" localSheetId="5">#REF!</definedName>
    <definedName name="_2080" localSheetId="6">#REF!</definedName>
    <definedName name="_2080">#REF!</definedName>
    <definedName name="_2090" localSheetId="0">#REF!</definedName>
    <definedName name="_2090" localSheetId="5">#REF!</definedName>
    <definedName name="_2090" localSheetId="6">#REF!</definedName>
    <definedName name="_2090">#REF!</definedName>
    <definedName name="_2100" localSheetId="0">#REF!</definedName>
    <definedName name="_2100" localSheetId="5">#REF!</definedName>
    <definedName name="_2100" localSheetId="6">#REF!</definedName>
    <definedName name="_2100">#REF!</definedName>
    <definedName name="_2110" localSheetId="0">#REF!</definedName>
    <definedName name="_2110" localSheetId="5">#REF!</definedName>
    <definedName name="_2110" localSheetId="6">#REF!</definedName>
    <definedName name="_2110">#REF!</definedName>
    <definedName name="_3080" localSheetId="0">#REF!</definedName>
    <definedName name="_3080" localSheetId="5">#REF!</definedName>
    <definedName name="_3080" localSheetId="6">#REF!</definedName>
    <definedName name="_3080">#REF!</definedName>
    <definedName name="_3090" localSheetId="0">#REF!</definedName>
    <definedName name="_3090" localSheetId="5">#REF!</definedName>
    <definedName name="_3090" localSheetId="6">#REF!</definedName>
    <definedName name="_3090">#REF!</definedName>
    <definedName name="_3100" localSheetId="0">#REF!</definedName>
    <definedName name="_3100" localSheetId="5">#REF!</definedName>
    <definedName name="_3100" localSheetId="6">#REF!</definedName>
    <definedName name="_3100">#REF!</definedName>
    <definedName name="_3110" localSheetId="0">#REF!</definedName>
    <definedName name="_3110" localSheetId="5">#REF!</definedName>
    <definedName name="_3110" localSheetId="6">#REF!</definedName>
    <definedName name="_3110">#REF!</definedName>
    <definedName name="_4080" localSheetId="0">#REF!</definedName>
    <definedName name="_4080" localSheetId="5">#REF!</definedName>
    <definedName name="_4080" localSheetId="6">#REF!</definedName>
    <definedName name="_4080">#REF!</definedName>
    <definedName name="_4090" localSheetId="0">#REF!</definedName>
    <definedName name="_4090" localSheetId="5">#REF!</definedName>
    <definedName name="_4090" localSheetId="6">#REF!</definedName>
    <definedName name="_4090">#REF!</definedName>
    <definedName name="_4100" localSheetId="0">#REF!</definedName>
    <definedName name="_4100" localSheetId="5">#REF!</definedName>
    <definedName name="_4100" localSheetId="6">#REF!</definedName>
    <definedName name="_4100">#REF!</definedName>
    <definedName name="_4110" localSheetId="0">#REF!</definedName>
    <definedName name="_4110" localSheetId="5">#REF!</definedName>
    <definedName name="_4110" localSheetId="6">#REF!</definedName>
    <definedName name="_4110">#REF!</definedName>
    <definedName name="_5080" localSheetId="0">#REF!</definedName>
    <definedName name="_5080" localSheetId="5">#REF!</definedName>
    <definedName name="_5080" localSheetId="6">#REF!</definedName>
    <definedName name="_5080">#REF!</definedName>
    <definedName name="_5090" localSheetId="0">#REF!</definedName>
    <definedName name="_5090" localSheetId="5">#REF!</definedName>
    <definedName name="_5090" localSheetId="6">#REF!</definedName>
    <definedName name="_5090">#REF!</definedName>
    <definedName name="_5100" localSheetId="0">#REF!</definedName>
    <definedName name="_5100" localSheetId="5">#REF!</definedName>
    <definedName name="_5100" localSheetId="6">#REF!</definedName>
    <definedName name="_5100">#REF!</definedName>
    <definedName name="_5110" localSheetId="0">#REF!</definedName>
    <definedName name="_5110" localSheetId="5">#REF!</definedName>
    <definedName name="_5110" localSheetId="6">#REF!</definedName>
    <definedName name="_5110">#REF!</definedName>
    <definedName name="_6080" localSheetId="0">#REF!</definedName>
    <definedName name="_6080" localSheetId="5">#REF!</definedName>
    <definedName name="_6080" localSheetId="6">#REF!</definedName>
    <definedName name="_6080">#REF!</definedName>
    <definedName name="_6090" localSheetId="0">#REF!</definedName>
    <definedName name="_6090" localSheetId="5">#REF!</definedName>
    <definedName name="_6090" localSheetId="6">#REF!</definedName>
    <definedName name="_6090">#REF!</definedName>
    <definedName name="_6100" localSheetId="0">#REF!</definedName>
    <definedName name="_6100" localSheetId="5">#REF!</definedName>
    <definedName name="_6100" localSheetId="6">#REF!</definedName>
    <definedName name="_6100">#REF!</definedName>
    <definedName name="_6110" localSheetId="0">#REF!</definedName>
    <definedName name="_6110" localSheetId="5">#REF!</definedName>
    <definedName name="_6110" localSheetId="6">#REF!</definedName>
    <definedName name="_6110">#REF!</definedName>
    <definedName name="_7031_1" localSheetId="0">#REF!</definedName>
    <definedName name="_7031_1" localSheetId="5">#REF!</definedName>
    <definedName name="_7031_1" localSheetId="6">#REF!</definedName>
    <definedName name="_7031_1">#REF!</definedName>
    <definedName name="_7031_2" localSheetId="0">#REF!</definedName>
    <definedName name="_7031_2" localSheetId="5">#REF!</definedName>
    <definedName name="_7031_2" localSheetId="6">#REF!</definedName>
    <definedName name="_7031_2">#REF!</definedName>
    <definedName name="_7032_1" localSheetId="0">#REF!</definedName>
    <definedName name="_7032_1" localSheetId="5">#REF!</definedName>
    <definedName name="_7032_1" localSheetId="6">#REF!</definedName>
    <definedName name="_7032_1">#REF!</definedName>
    <definedName name="_7032_2" localSheetId="0">#REF!</definedName>
    <definedName name="_7032_2" localSheetId="5">#REF!</definedName>
    <definedName name="_7032_2" localSheetId="6">#REF!</definedName>
    <definedName name="_7032_2">#REF!</definedName>
    <definedName name="_7033_1" localSheetId="0">#REF!</definedName>
    <definedName name="_7033_1" localSheetId="5">#REF!</definedName>
    <definedName name="_7033_1" localSheetId="6">#REF!</definedName>
    <definedName name="_7033_1">#REF!</definedName>
    <definedName name="_7033_2" localSheetId="0">#REF!</definedName>
    <definedName name="_7033_2" localSheetId="5">#REF!</definedName>
    <definedName name="_7033_2" localSheetId="6">#REF!</definedName>
    <definedName name="_7033_2">#REF!</definedName>
    <definedName name="_7034_1" localSheetId="0">#REF!</definedName>
    <definedName name="_7034_1" localSheetId="5">#REF!</definedName>
    <definedName name="_7034_1" localSheetId="6">#REF!</definedName>
    <definedName name="_7034_1">#REF!</definedName>
    <definedName name="_7034_2" localSheetId="0">#REF!</definedName>
    <definedName name="_7034_2" localSheetId="5">#REF!</definedName>
    <definedName name="_7034_2" localSheetId="6">#REF!</definedName>
    <definedName name="_7034_2">#REF!</definedName>
    <definedName name="_AMO_UniqueIdentifier" hidden="1">"'16080110-a65e-4b7d-bbc4-c28d125b3946'"</definedName>
    <definedName name="_CEL96">#N/A</definedName>
    <definedName name="_DEL96">#N/A</definedName>
    <definedName name="_DZR96">#N/A</definedName>
    <definedName name="_ISC01" localSheetId="0">#REF!</definedName>
    <definedName name="_ISC01">#REF!</definedName>
    <definedName name="_ISC2" localSheetId="0">#REF!</definedName>
    <definedName name="_ISC2">#REF!</definedName>
    <definedName name="_ISC3" localSheetId="0">#REF!+#REF!</definedName>
    <definedName name="_ISC3">#REF!+#REF!</definedName>
    <definedName name="_ISC567" localSheetId="0">#REF!</definedName>
    <definedName name="_ISC567">#REF!</definedName>
    <definedName name="_new" localSheetId="0">#REF!</definedName>
    <definedName name="_new">#REF!</definedName>
    <definedName name="_NEZ96">#N/A</definedName>
    <definedName name="_OST96">#N/A</definedName>
    <definedName name="_SAM96">#N/A</definedName>
    <definedName name="a" localSheetId="0">#REF!</definedName>
    <definedName name="a" localSheetId="5">#REF!</definedName>
    <definedName name="a" localSheetId="6">#REF!</definedName>
    <definedName name="a">#REF!</definedName>
    <definedName name="Acurrent" localSheetId="0">#REF!</definedName>
    <definedName name="Acurrent" localSheetId="5">#REF!</definedName>
    <definedName name="Acurrent" localSheetId="6">#REF!</definedName>
    <definedName name="Acurrent">#REF!</definedName>
    <definedName name="adjustments_to_BO_according_to_CdG2000" localSheetId="0">#REF!</definedName>
    <definedName name="adjustments_to_BO_according_to_CdG2000" localSheetId="5">#REF!</definedName>
    <definedName name="adjustments_to_BO_according_to_CdG2000" localSheetId="6">#REF!</definedName>
    <definedName name="adjustments_to_BO_according_to_CdG2000">#REF!</definedName>
    <definedName name="adsf" localSheetId="0">#REF!</definedName>
    <definedName name="adsf">#REF!</definedName>
    <definedName name="asdf" localSheetId="0">#REF!</definedName>
    <definedName name="asdf">#REF!</definedName>
    <definedName name="asdfdsa" localSheetId="0">#REF!</definedName>
    <definedName name="asdfdsa">#REF!</definedName>
    <definedName name="asfg" localSheetId="0">#REF!</definedName>
    <definedName name="asfg">#REF!</definedName>
    <definedName name="calcul" localSheetId="0">#REF!</definedName>
    <definedName name="calcul">#REF!</definedName>
    <definedName name="calcul1" localSheetId="0">#REF!</definedName>
    <definedName name="calcul1">#REF!</definedName>
    <definedName name="CdG_consolidé___volume_4__page_19___Commission" localSheetId="0">#REF!</definedName>
    <definedName name="CdG_consolidé___volume_4__page_19___Commission">#REF!</definedName>
    <definedName name="check" localSheetId="5" hidden="1">{"'swa xoffs'!$A$4:$Q$37"}</definedName>
    <definedName name="check" localSheetId="6" hidden="1">{"'swa xoffs'!$A$4:$Q$37"}</definedName>
    <definedName name="check" hidden="1">{"'swa xoffs'!$A$4:$Q$37"}</definedName>
    <definedName name="column_head" localSheetId="0">#REF!</definedName>
    <definedName name="column_head" localSheetId="5">#REF!</definedName>
    <definedName name="column_head" localSheetId="6">#REF!</definedName>
    <definedName name="column_head">#REF!</definedName>
    <definedName name="column_headings" localSheetId="0">#REF!</definedName>
    <definedName name="column_headings" localSheetId="5">#REF!</definedName>
    <definedName name="column_headings" localSheetId="6">#REF!</definedName>
    <definedName name="column_headings">#REF!</definedName>
    <definedName name="column_numbers" localSheetId="0">#REF!</definedName>
    <definedName name="column_numbers" localSheetId="5">#REF!</definedName>
    <definedName name="column_numbers" localSheetId="6">#REF!</definedName>
    <definedName name="column_numbers">#REF!</definedName>
    <definedName name="comments_on_B21" localSheetId="0">#REF!</definedName>
    <definedName name="comments_on_B21">#REF!</definedName>
    <definedName name="Compte_de_gestion_2000_C.02__Theo_Mestrom_s_file_25062001" localSheetId="0">#REF!</definedName>
    <definedName name="Compte_de_gestion_2000_C.02__Theo_Mestrom_s_file_25062001">#REF!</definedName>
    <definedName name="council" localSheetId="0">#REF!</definedName>
    <definedName name="council">#REF!</definedName>
    <definedName name="Country" localSheetId="0">#REF!</definedName>
    <definedName name="Country">#REF!</definedName>
    <definedName name="court_of_auditors" localSheetId="0">#REF!</definedName>
    <definedName name="court_of_auditors">#REF!</definedName>
    <definedName name="court_of_jusitce" localSheetId="0">#REF!</definedName>
    <definedName name="court_of_jusitce">#REF!</definedName>
    <definedName name="data" localSheetId="0">#REF!</definedName>
    <definedName name="data" localSheetId="5">#REF!</definedName>
    <definedName name="data" localSheetId="6">#REF!</definedName>
    <definedName name="data">#REF!</definedName>
    <definedName name="data2" localSheetId="0">#REF!</definedName>
    <definedName name="data2" localSheetId="5">#REF!</definedName>
    <definedName name="data2" localSheetId="6">#REF!</definedName>
    <definedName name="data2">#REF!</definedName>
    <definedName name="DEL1_96">#N/A</definedName>
    <definedName name="Diag" localSheetId="0">#REF!,#REF!</definedName>
    <definedName name="Diag" localSheetId="5">#REF!,#REF!</definedName>
    <definedName name="Diag" localSheetId="6">#REF!,#REF!</definedName>
    <definedName name="Diag">#REF!,#REF!</definedName>
    <definedName name="dsag" localSheetId="0">#REF!</definedName>
    <definedName name="dsag">#REF!</definedName>
    <definedName name="dsfg" localSheetId="0">#REF!</definedName>
    <definedName name="dsfg">#REF!</definedName>
    <definedName name="dssd" localSheetId="0">#REF!</definedName>
    <definedName name="dssd">#REF!</definedName>
    <definedName name="DUBA96">#N/A</definedName>
    <definedName name="DUBEA96">#N/A</definedName>
    <definedName name="DUCEL96">#N/A</definedName>
    <definedName name="DZRCEL96">#N/A</definedName>
    <definedName name="ea_flux" localSheetId="0">#REF!</definedName>
    <definedName name="ea_flux" localSheetId="5">#REF!</definedName>
    <definedName name="ea_flux" localSheetId="6">#REF!</definedName>
    <definedName name="ea_flux">#REF!</definedName>
    <definedName name="Equilibre" localSheetId="0">#REF!</definedName>
    <definedName name="Equilibre" localSheetId="5">#REF!</definedName>
    <definedName name="Equilibre" localSheetId="6">#REF!</definedName>
    <definedName name="Equilibre">#REF!</definedName>
    <definedName name="european_parliament" localSheetId="0">#REF!</definedName>
    <definedName name="european_parliament">#REF!</definedName>
    <definedName name="f1_time" localSheetId="0">#REF!</definedName>
    <definedName name="f1_time">#REF!</definedName>
    <definedName name="fdgg" localSheetId="0">#REF!+#REF!</definedName>
    <definedName name="fdgg">#REF!+#REF!</definedName>
    <definedName name="females" localSheetId="0">#REF!</definedName>
    <definedName name="females">#REF!</definedName>
    <definedName name="fg_567" localSheetId="0">#REF!</definedName>
    <definedName name="fg_567">#REF!</definedName>
    <definedName name="FG_ISC123" localSheetId="0">#REF!</definedName>
    <definedName name="FG_ISC123">#REF!</definedName>
    <definedName name="FG_ISC567" localSheetId="0">#REF!</definedName>
    <definedName name="FG_ISC567">#REF!</definedName>
    <definedName name="fig4b" localSheetId="0">#REF!</definedName>
    <definedName name="fig4b" localSheetId="5">#REF!</definedName>
    <definedName name="fig4b" localSheetId="6">#REF!</definedName>
    <definedName name="fig4b">#REF!</definedName>
    <definedName name="fmtr" localSheetId="0">#REF!</definedName>
    <definedName name="fmtr" localSheetId="5">#REF!</definedName>
    <definedName name="fmtr" localSheetId="6">#REF!</definedName>
    <definedName name="fmtr">#REF!</definedName>
    <definedName name="footno" localSheetId="0">#REF!</definedName>
    <definedName name="footno" localSheetId="5">#REF!</definedName>
    <definedName name="footno" localSheetId="6">#REF!</definedName>
    <definedName name="footno">#REF!</definedName>
    <definedName name="footnotes" localSheetId="0">#REF!</definedName>
    <definedName name="footnotes" localSheetId="5">#REF!</definedName>
    <definedName name="footnotes" localSheetId="6">#REF!</definedName>
    <definedName name="footnotes">#REF!</definedName>
    <definedName name="footnotes2" localSheetId="0">#REF!</definedName>
    <definedName name="footnotes2" localSheetId="5">#REF!</definedName>
    <definedName name="footnotes2" localSheetId="6">#REF!</definedName>
    <definedName name="footnotes2">#REF!</definedName>
    <definedName name="fvd" localSheetId="0">#REF!</definedName>
    <definedName name="fvd">#REF!</definedName>
    <definedName name="gasdf" localSheetId="0">#REF!</definedName>
    <definedName name="gasdf">#REF!</definedName>
    <definedName name="GEOG9703" localSheetId="0">#REF!</definedName>
    <definedName name="GEOG9703" localSheetId="5">#REF!</definedName>
    <definedName name="GEOG9703" localSheetId="6">#REF!</definedName>
    <definedName name="GEOG9703">#REF!</definedName>
    <definedName name="gfsag" localSheetId="0">#REF!</definedName>
    <definedName name="gfsag">#REF!</definedName>
    <definedName name="gsdfasdds" localSheetId="0">#REF!</definedName>
    <definedName name="gsdfasdds">#REF!</definedName>
    <definedName name="hdsfg" localSheetId="0">#REF!</definedName>
    <definedName name="hdsfg">#REF!</definedName>
    <definedName name="heading_A" localSheetId="0">#REF!</definedName>
    <definedName name="heading_A">#REF!</definedName>
    <definedName name="headings_current_partB" localSheetId="0">#REF!</definedName>
    <definedName name="headings_current_partB">#REF!</definedName>
    <definedName name="hg" localSheetId="0">#REF!</definedName>
    <definedName name="hg">#REF!</definedName>
    <definedName name="hjdsadas" localSheetId="0">#REF!</definedName>
    <definedName name="hjdsadas">#REF!</definedName>
    <definedName name="HTML_CodePage" hidden="1">1252</definedName>
    <definedName name="HTML_Control" localSheetId="5" hidden="1">{"'swa xoffs'!$A$4:$Q$37"}</definedName>
    <definedName name="HTML_Control" localSheetId="6" hidden="1">{"'swa xoffs'!$A$4:$Q$37"}</definedName>
    <definedName name="HTML_Control" hidden="1">{"'swa xoffs'!$A$4:$Q$37"}</definedName>
    <definedName name="HTML_Description" hidden="1">""</definedName>
    <definedName name="HTML_Email" hidden="1">""</definedName>
    <definedName name="HTML_Header" hidden="1">"Sheet1"</definedName>
    <definedName name="HTML_LastUpdate" hidden="1">"9/24/98"</definedName>
    <definedName name="HTML_LineAfter" hidden="1">FALSE</definedName>
    <definedName name="HTML_LineBefore" hidden="1">FALSE</definedName>
    <definedName name="HTML_Name" hidden="1">"Dweb"</definedName>
    <definedName name="HTML_OBDlg2" hidden="1">TRUE</definedName>
    <definedName name="HTML_OBDlg4" hidden="1">TRUE</definedName>
    <definedName name="HTML_OS" hidden="1">0</definedName>
    <definedName name="HTML_PathFile" hidden="1">"U:\data zone\datazone98\TEST\datazone\swaxoffs.html"</definedName>
    <definedName name="HTML_Title" hidden="1">"Book2"</definedName>
    <definedName name="ID">#N/A</definedName>
    <definedName name="INDF1" localSheetId="0">#REF!</definedName>
    <definedName name="INDF1">#REF!</definedName>
    <definedName name="indf11" localSheetId="0">#REF!</definedName>
    <definedName name="indf11">#REF!</definedName>
    <definedName name="indf11_94" localSheetId="0">#REF!</definedName>
    <definedName name="indf11_94">#REF!</definedName>
    <definedName name="INDF12" localSheetId="0">#REF!</definedName>
    <definedName name="INDF12">#REF!</definedName>
    <definedName name="INDF13" localSheetId="0">#REF!</definedName>
    <definedName name="INDF13">#REF!</definedName>
    <definedName name="INPUT" localSheetId="0">#REF!</definedName>
    <definedName name="INPUT">#REF!</definedName>
    <definedName name="international_fund_for_Ireland" localSheetId="0">#REF!</definedName>
    <definedName name="international_fund_for_Ireland">#REF!</definedName>
    <definedName name="ISO" localSheetId="0">#REF!</definedName>
    <definedName name="ISO">#REF!</definedName>
    <definedName name="kjfdbsjfs" localSheetId="0">#REF!</definedName>
    <definedName name="kjfdbsjfs">#REF!</definedName>
    <definedName name="kk" localSheetId="0">#REF!</definedName>
    <definedName name="kk">#REF!</definedName>
    <definedName name="LANGUAGES" localSheetId="0">#REF!</definedName>
    <definedName name="LANGUAGES">#REF!</definedName>
    <definedName name="males" localSheetId="0">#REF!</definedName>
    <definedName name="males">#REF!</definedName>
    <definedName name="Measure" localSheetId="0">#REF!</definedName>
    <definedName name="Measure">#REF!</definedName>
    <definedName name="NAZEV">#N/A</definedName>
    <definedName name="nc" localSheetId="0">#REF!</definedName>
    <definedName name="nc">#REF!</definedName>
    <definedName name="new" localSheetId="0">#REF!</definedName>
    <definedName name="new" localSheetId="5">#REF!</definedName>
    <definedName name="new" localSheetId="6">#REF!</definedName>
    <definedName name="new">#REF!</definedName>
    <definedName name="newnew" localSheetId="0">#REF!</definedName>
    <definedName name="newnew" localSheetId="5">#REF!</definedName>
    <definedName name="newnew" localSheetId="6">#REF!</definedName>
    <definedName name="newnew">#REF!</definedName>
    <definedName name="NEZAM96">#N/A</definedName>
    <definedName name="nomenclature_FRENCH" localSheetId="0">#REF!</definedName>
    <definedName name="nomenclature_FRENCH" localSheetId="5">#REF!</definedName>
    <definedName name="nomenclature_FRENCH" localSheetId="6">#REF!</definedName>
    <definedName name="nomenclature_FRENCH">#REF!</definedName>
    <definedName name="ok" localSheetId="0">#REF!</definedName>
    <definedName name="ok" localSheetId="5">#REF!</definedName>
    <definedName name="ok" localSheetId="6">#REF!</definedName>
    <definedName name="ok">#REF!</definedName>
    <definedName name="p5_age" localSheetId="0">#REF!</definedName>
    <definedName name="p5_age">#REF!</definedName>
    <definedName name="p5nr" localSheetId="0">#REF!</definedName>
    <definedName name="p5nr">#REF!</definedName>
    <definedName name="PIB" localSheetId="0">#REF!</definedName>
    <definedName name="PIB" localSheetId="5">#REF!</definedName>
    <definedName name="PIB" localSheetId="6">#REF!</definedName>
    <definedName name="PIB">#REF!</definedName>
    <definedName name="pjhjfdsblfds" localSheetId="0">#REF!</definedName>
    <definedName name="pjhjfdsblfds">#REF!</definedName>
    <definedName name="POpula" localSheetId="0">#REF!</definedName>
    <definedName name="POpula">#REF!</definedName>
    <definedName name="popula1" localSheetId="0">#REF!</definedName>
    <definedName name="popula1">#REF!</definedName>
    <definedName name="print_area45567" localSheetId="0">#REF!</definedName>
    <definedName name="print_area45567">#REF!</definedName>
    <definedName name="Print_Area78" localSheetId="0">#REF!</definedName>
    <definedName name="Print_Area78">#REF!</definedName>
    <definedName name="Print_Area902" localSheetId="0">#REF!</definedName>
    <definedName name="Print_Area902">#REF!</definedName>
    <definedName name="ref_B1" localSheetId="0">#REF!</definedName>
    <definedName name="ref_B1">#REF!</definedName>
    <definedName name="ref_Cohesion_Fund" localSheetId="0">#REF!</definedName>
    <definedName name="ref_Cohesion_Fund">#REF!</definedName>
    <definedName name="ref_Council" localSheetId="0">#REF!</definedName>
    <definedName name="ref_Council">#REF!</definedName>
    <definedName name="ref_Court_Justice" localSheetId="0">#REF!</definedName>
    <definedName name="ref_Court_Justice">#REF!</definedName>
    <definedName name="ref_DG_ADMIN_BXL" localSheetId="0">#REF!</definedName>
    <definedName name="ref_DG_ADMIN_BXL">#REF!</definedName>
    <definedName name="ref_DG_ADMIN_LUX" localSheetId="0">#REF!</definedName>
    <definedName name="ref_DG_ADMIN_LUX">#REF!</definedName>
    <definedName name="ref_DG_AGRI" localSheetId="0">#REF!</definedName>
    <definedName name="ref_DG_AGRI">#REF!</definedName>
    <definedName name="ref_DG_EAC" localSheetId="0">#REF!</definedName>
    <definedName name="ref_DG_EAC">#REF!</definedName>
    <definedName name="ref_DG_ECFIN" localSheetId="0">#REF!</definedName>
    <definedName name="ref_DG_ECFIN">#REF!</definedName>
    <definedName name="ref_DG_ENTR" localSheetId="0">#REF!</definedName>
    <definedName name="ref_DG_ENTR">#REF!</definedName>
    <definedName name="ref_DG_ENTR_Cenelex_berthon" localSheetId="0">#REF!</definedName>
    <definedName name="ref_DG_ENTR_Cenelex_berthon">#REF!</definedName>
    <definedName name="ref_DG_FISH" localSheetId="0">#REF!</definedName>
    <definedName name="ref_DG_FISH">#REF!</definedName>
    <definedName name="ref_DG_INFSO" localSheetId="0">#REF!</definedName>
    <definedName name="ref_DG_INFSO">#REF!</definedName>
    <definedName name="ref_DG_Relex" localSheetId="0">#REF!</definedName>
    <definedName name="ref_DG_Relex">#REF!</definedName>
    <definedName name="ref_DG_RTD" localSheetId="0">#REF!</definedName>
    <definedName name="ref_DG_RTD">#REF!</definedName>
    <definedName name="ref_DG_TREN" localSheetId="0">#REF!</definedName>
    <definedName name="ref_DG_TREN">#REF!</definedName>
    <definedName name="ref_dubus" localSheetId="0">#REF!</definedName>
    <definedName name="ref_dubus">#REF!</definedName>
    <definedName name="ref_Eur_Parlament" localSheetId="0">#REF!</definedName>
    <definedName name="ref_Eur_Parlament">#REF!</definedName>
    <definedName name="ref_JRC_ISPRA" localSheetId="0">#REF!</definedName>
    <definedName name="ref_JRC_ISPRA">#REF!</definedName>
    <definedName name="ref_OPOCE" localSheetId="0">#REF!</definedName>
    <definedName name="ref_OPOCE">#REF!</definedName>
    <definedName name="ref_structural_funds" localSheetId="0">#REF!</definedName>
    <definedName name="ref_structural_funds">#REF!</definedName>
    <definedName name="ref_TOTAL_RTD" localSheetId="0">#REF!</definedName>
    <definedName name="ref_TOTAL_RTD">#REF!</definedName>
    <definedName name="Rentflag" localSheetId="0">IF(#REF!,"","not ")</definedName>
    <definedName name="Rentflag">IF(#REF!,"","not ")</definedName>
    <definedName name="ressources" localSheetId="0">#REF!</definedName>
    <definedName name="ressources" localSheetId="5">#REF!</definedName>
    <definedName name="ressources" localSheetId="6">#REF!</definedName>
    <definedName name="ressources">#REF!</definedName>
    <definedName name="rpflux" localSheetId="0">#REF!</definedName>
    <definedName name="rpflux" localSheetId="5">#REF!</definedName>
    <definedName name="rpflux" localSheetId="6">#REF!</definedName>
    <definedName name="rpflux">#REF!</definedName>
    <definedName name="rptof" localSheetId="0">#REF!</definedName>
    <definedName name="rptof" localSheetId="5">#REF!</definedName>
    <definedName name="rptof" localSheetId="6">#REF!</definedName>
    <definedName name="rptof">#REF!</definedName>
    <definedName name="rq" localSheetId="0">#REF!</definedName>
    <definedName name="rq" localSheetId="5">#REF!</definedName>
    <definedName name="rq" localSheetId="6">#REF!</definedName>
    <definedName name="rq">#REF!</definedName>
    <definedName name="sadfgf" localSheetId="0">#REF!</definedName>
    <definedName name="sadfgf">#REF!</definedName>
    <definedName name="sadfgg" localSheetId="0">#REF!</definedName>
    <definedName name="sadfgg">#REF!</definedName>
    <definedName name="saffd" localSheetId="0">#REF!</definedName>
    <definedName name="saffd">#REF!</definedName>
    <definedName name="sdfg" localSheetId="0">#REF!</definedName>
    <definedName name="sdfg">#REF!</definedName>
    <definedName name="sdfgh" localSheetId="0">#REF!</definedName>
    <definedName name="sdfgh">#REF!</definedName>
    <definedName name="shift" localSheetId="0">#REF!</definedName>
    <definedName name="shift">#REF!</definedName>
    <definedName name="spanners_level1" localSheetId="0">#REF!</definedName>
    <definedName name="spanners_level1" localSheetId="5">#REF!</definedName>
    <definedName name="spanners_level1" localSheetId="6">#REF!</definedName>
    <definedName name="spanners_level1">#REF!</definedName>
    <definedName name="spanners_level2" localSheetId="0">#REF!</definedName>
    <definedName name="spanners_level2" localSheetId="5">#REF!</definedName>
    <definedName name="spanners_level2" localSheetId="6">#REF!</definedName>
    <definedName name="spanners_level2">#REF!</definedName>
    <definedName name="spanners_level3" localSheetId="0">#REF!</definedName>
    <definedName name="spanners_level3" localSheetId="5">#REF!</definedName>
    <definedName name="spanners_level3" localSheetId="6">#REF!</definedName>
    <definedName name="spanners_level3">#REF!</definedName>
    <definedName name="spanners_level4" localSheetId="0">#REF!</definedName>
    <definedName name="spanners_level4" localSheetId="5">#REF!</definedName>
    <definedName name="spanners_level4" localSheetId="6">#REF!</definedName>
    <definedName name="spanners_level4">#REF!</definedName>
    <definedName name="spanners_level5" localSheetId="0">#REF!</definedName>
    <definedName name="spanners_level5" localSheetId="5">#REF!</definedName>
    <definedName name="spanners_level5" localSheetId="6">#REF!</definedName>
    <definedName name="spanners_level5">#REF!</definedName>
    <definedName name="spanners_levelV" localSheetId="0">#REF!</definedName>
    <definedName name="spanners_levelV" localSheetId="5">#REF!</definedName>
    <definedName name="spanners_levelV" localSheetId="6">#REF!</definedName>
    <definedName name="spanners_levelV">#REF!</definedName>
    <definedName name="spanners_levelX" localSheetId="0">#REF!</definedName>
    <definedName name="spanners_levelX" localSheetId="5">#REF!</definedName>
    <definedName name="spanners_levelX" localSheetId="6">#REF!</definedName>
    <definedName name="spanners_levelX">#REF!</definedName>
    <definedName name="spanners_levelY" localSheetId="0">#REF!</definedName>
    <definedName name="spanners_levelY" localSheetId="5">#REF!</definedName>
    <definedName name="spanners_levelY" localSheetId="6">#REF!</definedName>
    <definedName name="spanners_levelY">#REF!</definedName>
    <definedName name="spanners_levelZ" localSheetId="0">#REF!</definedName>
    <definedName name="spanners_levelZ" localSheetId="5">#REF!</definedName>
    <definedName name="spanners_levelZ" localSheetId="6">#REF!</definedName>
    <definedName name="spanners_levelZ">#REF!</definedName>
    <definedName name="SPSS" localSheetId="0">#REF!</definedName>
    <definedName name="SPSS">#REF!</definedName>
    <definedName name="stub_lines" localSheetId="0">#REF!</definedName>
    <definedName name="stub_lines" localSheetId="5">#REF!</definedName>
    <definedName name="stub_lines" localSheetId="6">#REF!</definedName>
    <definedName name="stub_lines">#REF!</definedName>
    <definedName name="STZN">#N/A</definedName>
    <definedName name="T_A4.3_W_2010" localSheetId="0">#REF!</definedName>
    <definedName name="T_A4.3_W_2010">#REF!</definedName>
    <definedName name="T_A4.6" localSheetId="0">#REF!</definedName>
    <definedName name="T_A4.6">#REF!</definedName>
    <definedName name="T3_L_TOT_MW" localSheetId="0">#REF!</definedName>
    <definedName name="T3_L_TOT_MW">#REF!</definedName>
    <definedName name="T3_MW_2564" localSheetId="0">#REF!</definedName>
    <definedName name="T3_MW_2564">#REF!</definedName>
    <definedName name="T3_N_MW_2564" localSheetId="0">#REF!</definedName>
    <definedName name="T3_N_MW_2564">#REF!</definedName>
    <definedName name="T3_N_TOT_MW" localSheetId="0">#REF!</definedName>
    <definedName name="T3_N_TOT_MW">#REF!</definedName>
    <definedName name="T4_N_EDCAT_MW" localSheetId="0">#REF!</definedName>
    <definedName name="T4_N_EDCAT_MW">#REF!</definedName>
    <definedName name="Table_DE.4b__Sources_of_private_wealth_accumulation_in_Germany__1870_2010___Multiplicative_decomposition" localSheetId="0">#REF!</definedName>
    <definedName name="Table_DE.4b__Sources_of_private_wealth_accumulation_in_Germany__1870_2010___Multiplicative_decomposition">#REF!</definedName>
    <definedName name="tableJEL" localSheetId="0">#REF!</definedName>
    <definedName name="tableJEL">#REF!</definedName>
    <definedName name="temp" localSheetId="0">#REF!</definedName>
    <definedName name="temp" localSheetId="5">#REF!</definedName>
    <definedName name="temp" localSheetId="6">#REF!</definedName>
    <definedName name="temp">#REF!</definedName>
    <definedName name="test" localSheetId="0">#REF!</definedName>
    <definedName name="test" localSheetId="5">#REF!</definedName>
    <definedName name="test" localSheetId="6">#REF!</definedName>
    <definedName name="test">#REF!</definedName>
    <definedName name="Title_A4.3_M_2009" localSheetId="0">#REF!</definedName>
    <definedName name="Title_A4.3_M_2009">#REF!</definedName>
    <definedName name="titles" localSheetId="0">#REF!</definedName>
    <definedName name="titles" localSheetId="5">#REF!</definedName>
    <definedName name="titles" localSheetId="6">#REF!</definedName>
    <definedName name="titles">#REF!</definedName>
    <definedName name="totals" localSheetId="0">#REF!</definedName>
    <definedName name="totals" localSheetId="5">#REF!</definedName>
    <definedName name="totals" localSheetId="6">#REF!</definedName>
    <definedName name="totals">#REF!</definedName>
    <definedName name="toto" localSheetId="0">#REF!</definedName>
    <definedName name="toto">#REF!</definedName>
    <definedName name="toto1" localSheetId="0">#REF!</definedName>
    <definedName name="toto1">#REF!</definedName>
    <definedName name="tt" localSheetId="0">#REF!</definedName>
    <definedName name="tt" localSheetId="5">#REF!</definedName>
    <definedName name="tt" localSheetId="6">#REF!</definedName>
    <definedName name="tt">#REF!</definedName>
    <definedName name="UHRN96">#N/A</definedName>
    <definedName name="v" localSheetId="0">#REF!</definedName>
    <definedName name="v" localSheetId="5">#REF!</definedName>
    <definedName name="v" localSheetId="6">#REF!</definedName>
    <definedName name="v">#REF!</definedName>
    <definedName name="valuevx">42.314159</definedName>
    <definedName name="vcxy" localSheetId="0">#REF!</definedName>
    <definedName name="vcxy">#REF!</definedName>
    <definedName name="vfdvfd" localSheetId="0">#REF!</definedName>
    <definedName name="vfdvfd">#REF!</definedName>
    <definedName name="wealthtaxtables" localSheetId="5" hidden="1">{"'swa xoffs'!$A$4:$Q$37"}</definedName>
    <definedName name="wealthtaxtables" localSheetId="6" hidden="1">{"'swa xoffs'!$A$4:$Q$37"}</definedName>
    <definedName name="wealthtaxtables" hidden="1">{"'swa xoffs'!$A$4:$Q$37"}</definedName>
    <definedName name="weight" localSheetId="0">#REF!</definedName>
    <definedName name="weight">#REF!</definedName>
    <definedName name="wer" localSheetId="0">#REF!</definedName>
    <definedName name="wer">#REF!</definedName>
    <definedName name="xxx" localSheetId="0">#REF!</definedName>
    <definedName name="xxx" localSheetId="5">#REF!</definedName>
    <definedName name="xxx" localSheetId="6">#REF!</definedName>
    <definedName name="xxx">#REF!</definedName>
    <definedName name="xxxx" localSheetId="0">#REF!</definedName>
    <definedName name="xxxx">#REF!</definedName>
    <definedName name="Year" localSheetId="0">#REF!</definedName>
    <definedName name="Year">#REF!</definedName>
    <definedName name="YearLabel" localSheetId="0">#REF!</definedName>
    <definedName name="YearLabel">#REF!</definedName>
    <definedName name="yearly" localSheetId="0">#REF!</definedName>
    <definedName name="yearly">#REF!</definedName>
    <definedName name="ZAM1_96">#N/A</definedName>
    <definedName name="ZAM96">#N/A</definedName>
  </definedNames>
  <calcPr calcId="162913"/>
</workbook>
</file>

<file path=xl/calcChain.xml><?xml version="1.0" encoding="utf-8"?>
<calcChain xmlns="http://schemas.openxmlformats.org/spreadsheetml/2006/main">
  <c r="AG78" i="7" l="1"/>
  <c r="AF78" i="7"/>
  <c r="AB78" i="7"/>
  <c r="Z78" i="7"/>
  <c r="Y78" i="7"/>
  <c r="AK78" i="7" s="1"/>
  <c r="X78" i="7"/>
  <c r="W78" i="7"/>
  <c r="V78" i="7"/>
  <c r="AH78" i="7" s="1"/>
  <c r="U78" i="7"/>
  <c r="T78" i="7"/>
  <c r="S78" i="7"/>
  <c r="R78" i="7"/>
  <c r="Q78" i="7"/>
  <c r="AC78" i="7" s="1"/>
  <c r="P78" i="7"/>
  <c r="O78" i="7"/>
  <c r="L63" i="7"/>
  <c r="F63" i="7"/>
  <c r="S62" i="7"/>
  <c r="L62" i="7"/>
  <c r="Y62" i="7" s="1"/>
  <c r="S61" i="7"/>
  <c r="Y60" i="7"/>
  <c r="K60" i="7"/>
  <c r="H60" i="7"/>
  <c r="G60" i="7"/>
  <c r="G61" i="7" s="1"/>
  <c r="C60" i="7"/>
  <c r="B60" i="7"/>
  <c r="Y59" i="7"/>
  <c r="AK59" i="7" s="1"/>
  <c r="V59" i="7"/>
  <c r="AH59" i="7" s="1"/>
  <c r="U59" i="7"/>
  <c r="AG59" i="7" s="1"/>
  <c r="T59" i="7"/>
  <c r="S59" i="7"/>
  <c r="M59" i="7"/>
  <c r="M60" i="7" s="1"/>
  <c r="L59" i="7"/>
  <c r="L60" i="7" s="1"/>
  <c r="L61" i="7" s="1"/>
  <c r="Y61" i="7" s="1"/>
  <c r="K59" i="7"/>
  <c r="X59" i="7" s="1"/>
  <c r="J59" i="7"/>
  <c r="I59" i="7"/>
  <c r="I60" i="7" s="1"/>
  <c r="H59" i="7"/>
  <c r="G59" i="7"/>
  <c r="F59" i="7"/>
  <c r="F60" i="7" s="1"/>
  <c r="F61" i="7" s="1"/>
  <c r="F62" i="7" s="1"/>
  <c r="E59" i="7"/>
  <c r="D59" i="7"/>
  <c r="Q59" i="7" s="1"/>
  <c r="AC59" i="7" s="1"/>
  <c r="C59" i="7"/>
  <c r="P59" i="7" s="1"/>
  <c r="B59" i="7"/>
  <c r="O59" i="7" s="1"/>
  <c r="AI58" i="7"/>
  <c r="AG58" i="7"/>
  <c r="AF58" i="7"/>
  <c r="AE58" i="7"/>
  <c r="AB58" i="7"/>
  <c r="Z58" i="7"/>
  <c r="Y58" i="7"/>
  <c r="X58" i="7"/>
  <c r="AJ58" i="7" s="1"/>
  <c r="W58" i="7"/>
  <c r="V58" i="7"/>
  <c r="AH58" i="7" s="1"/>
  <c r="U58" i="7"/>
  <c r="T58" i="7"/>
  <c r="S58" i="7"/>
  <c r="R58" i="7"/>
  <c r="Q58" i="7"/>
  <c r="AC58" i="7" s="1"/>
  <c r="P58" i="7"/>
  <c r="O58" i="7"/>
  <c r="I50" i="7"/>
  <c r="E50" i="7"/>
  <c r="C50" i="7"/>
  <c r="P50" i="7" s="1"/>
  <c r="B50" i="7"/>
  <c r="AB49" i="7"/>
  <c r="Z49" i="7"/>
  <c r="X49" i="7"/>
  <c r="V49" i="7"/>
  <c r="P49" i="7"/>
  <c r="O49" i="7"/>
  <c r="M49" i="7"/>
  <c r="M50" i="7" s="1"/>
  <c r="L49" i="7"/>
  <c r="K49" i="7"/>
  <c r="K50" i="7" s="1"/>
  <c r="J49" i="7"/>
  <c r="I49" i="7"/>
  <c r="H49" i="7"/>
  <c r="G49" i="7"/>
  <c r="F49" i="7"/>
  <c r="E49" i="7"/>
  <c r="R49" i="7" s="1"/>
  <c r="D49" i="7"/>
  <c r="D50" i="7" s="1"/>
  <c r="C49" i="7"/>
  <c r="B49" i="7"/>
  <c r="AI48" i="7"/>
  <c r="AH48" i="7"/>
  <c r="AG48" i="7"/>
  <c r="AE48" i="7"/>
  <c r="AD48" i="7"/>
  <c r="AC48" i="7"/>
  <c r="Z48" i="7"/>
  <c r="AL48" i="7" s="1"/>
  <c r="Y48" i="7"/>
  <c r="X48" i="7"/>
  <c r="AJ48" i="7" s="1"/>
  <c r="W48" i="7"/>
  <c r="V48" i="7"/>
  <c r="U48" i="7"/>
  <c r="T48" i="7"/>
  <c r="AF48" i="7" s="1"/>
  <c r="S48" i="7"/>
  <c r="R48" i="7"/>
  <c r="Q48" i="7"/>
  <c r="P48" i="7"/>
  <c r="AB48" i="7" s="1"/>
  <c r="O48" i="7"/>
  <c r="I35" i="7"/>
  <c r="V32" i="7"/>
  <c r="V31" i="7"/>
  <c r="Y30" i="7"/>
  <c r="T30" i="7"/>
  <c r="M30" i="7"/>
  <c r="I30" i="7"/>
  <c r="I31" i="7" s="1"/>
  <c r="I32" i="7" s="1"/>
  <c r="I33" i="7" s="1"/>
  <c r="I34" i="7" s="1"/>
  <c r="V34" i="7" s="1"/>
  <c r="G30" i="7"/>
  <c r="G31" i="7" s="1"/>
  <c r="T31" i="7" s="1"/>
  <c r="E30" i="7"/>
  <c r="R30" i="7" s="1"/>
  <c r="C30" i="7"/>
  <c r="P30" i="7" s="1"/>
  <c r="B30" i="7"/>
  <c r="Z29" i="7"/>
  <c r="AL29" i="7" s="1"/>
  <c r="Y29" i="7"/>
  <c r="V29" i="7"/>
  <c r="T29" i="7"/>
  <c r="S29" i="7"/>
  <c r="AE29" i="7" s="1"/>
  <c r="Q29" i="7"/>
  <c r="AD29" i="7" s="1"/>
  <c r="O29" i="7"/>
  <c r="M29" i="7"/>
  <c r="L29" i="7"/>
  <c r="L30" i="7" s="1"/>
  <c r="L31" i="7" s="1"/>
  <c r="K29" i="7"/>
  <c r="J29" i="7"/>
  <c r="I29" i="7"/>
  <c r="H29" i="7"/>
  <c r="G29" i="7"/>
  <c r="F29" i="7"/>
  <c r="F30" i="7" s="1"/>
  <c r="E29" i="7"/>
  <c r="R29" i="7" s="1"/>
  <c r="D29" i="7"/>
  <c r="D30" i="7" s="1"/>
  <c r="Q30" i="7" s="1"/>
  <c r="C29" i="7"/>
  <c r="P29" i="7" s="1"/>
  <c r="B29" i="7"/>
  <c r="AG28" i="7"/>
  <c r="AF28" i="7"/>
  <c r="AE28" i="7"/>
  <c r="AC28" i="7"/>
  <c r="AB28" i="7"/>
  <c r="Z28" i="7"/>
  <c r="Y28" i="7"/>
  <c r="AK28" i="7" s="1"/>
  <c r="X28" i="7"/>
  <c r="W28" i="7"/>
  <c r="V28" i="7"/>
  <c r="AH28" i="7" s="1"/>
  <c r="U28" i="7"/>
  <c r="T28" i="7"/>
  <c r="S28" i="7"/>
  <c r="R28" i="7"/>
  <c r="AD28" i="7" s="1"/>
  <c r="Q28" i="7"/>
  <c r="P28" i="7"/>
  <c r="O28" i="7"/>
  <c r="F20" i="7"/>
  <c r="S19" i="7"/>
  <c r="F16" i="7"/>
  <c r="F17" i="7" s="1"/>
  <c r="F18" i="7" s="1"/>
  <c r="F19" i="7" s="1"/>
  <c r="C16" i="7"/>
  <c r="P16" i="7" s="1"/>
  <c r="AE15" i="7"/>
  <c r="Y15" i="7"/>
  <c r="R15" i="7"/>
  <c r="M15" i="7"/>
  <c r="M16" i="7" s="1"/>
  <c r="K15" i="7"/>
  <c r="J15" i="7"/>
  <c r="I15" i="7"/>
  <c r="H15" i="7"/>
  <c r="G15" i="7"/>
  <c r="F15" i="7"/>
  <c r="S15" i="7" s="1"/>
  <c r="E15" i="7"/>
  <c r="E16" i="7" s="1"/>
  <c r="R16" i="7" s="1"/>
  <c r="C15" i="7"/>
  <c r="P15" i="7" s="1"/>
  <c r="AF14" i="7"/>
  <c r="AE14" i="7"/>
  <c r="Z14" i="7"/>
  <c r="Y14" i="7"/>
  <c r="AK14" i="7" s="1"/>
  <c r="U14" i="7"/>
  <c r="T14" i="7"/>
  <c r="S14" i="7"/>
  <c r="R14" i="7"/>
  <c r="M14" i="7"/>
  <c r="L14" i="7"/>
  <c r="L15" i="7" s="1"/>
  <c r="L16" i="7" s="1"/>
  <c r="K14" i="7"/>
  <c r="X14" i="7" s="1"/>
  <c r="AJ14" i="7" s="1"/>
  <c r="J14" i="7"/>
  <c r="W14" i="7" s="1"/>
  <c r="AI14" i="7" s="1"/>
  <c r="I14" i="7"/>
  <c r="V14" i="7" s="1"/>
  <c r="H14" i="7"/>
  <c r="G14" i="7"/>
  <c r="F14" i="7"/>
  <c r="E14" i="7"/>
  <c r="D14" i="7"/>
  <c r="C14" i="7"/>
  <c r="P14" i="7" s="1"/>
  <c r="B14" i="7"/>
  <c r="AE13" i="7"/>
  <c r="AD13" i="7"/>
  <c r="Z13" i="7"/>
  <c r="AL13" i="7" s="1"/>
  <c r="Y13" i="7"/>
  <c r="AK13" i="7" s="1"/>
  <c r="X13" i="7"/>
  <c r="W13" i="7"/>
  <c r="AI13" i="7" s="1"/>
  <c r="V13" i="7"/>
  <c r="U13" i="7"/>
  <c r="T13" i="7"/>
  <c r="AF13" i="7" s="1"/>
  <c r="S13" i="7"/>
  <c r="R13" i="7"/>
  <c r="Q13" i="7"/>
  <c r="AC13" i="7" s="1"/>
  <c r="P13" i="7"/>
  <c r="AB13" i="7" s="1"/>
  <c r="O13" i="7"/>
  <c r="L8" i="7"/>
  <c r="Y8" i="7" s="1"/>
  <c r="L7" i="7"/>
  <c r="Y7" i="7" s="1"/>
  <c r="L6" i="7"/>
  <c r="Y6" i="7" s="1"/>
  <c r="S5" i="7"/>
  <c r="R5" i="7"/>
  <c r="Q5" i="7"/>
  <c r="P5" i="7"/>
  <c r="O5" i="7"/>
  <c r="M5" i="7"/>
  <c r="Z5" i="7" s="1"/>
  <c r="AL5" i="7" s="1"/>
  <c r="I5" i="7"/>
  <c r="I6" i="7" s="1"/>
  <c r="E5" i="7"/>
  <c r="E6" i="7" s="1"/>
  <c r="AL4" i="7"/>
  <c r="AK4" i="7"/>
  <c r="AH4" i="7"/>
  <c r="AG4" i="7"/>
  <c r="Y4" i="7"/>
  <c r="X4" i="7"/>
  <c r="V4" i="7"/>
  <c r="U4" i="7"/>
  <c r="T4" i="7"/>
  <c r="S4" i="7"/>
  <c r="R4" i="7"/>
  <c r="Q4" i="7"/>
  <c r="AC4" i="7" s="1"/>
  <c r="P4" i="7"/>
  <c r="M4" i="7"/>
  <c r="Z4" i="7" s="1"/>
  <c r="L4" i="7"/>
  <c r="L5" i="7" s="1"/>
  <c r="Y5" i="7" s="1"/>
  <c r="K4" i="7"/>
  <c r="K5" i="7" s="1"/>
  <c r="J4" i="7"/>
  <c r="J5" i="7" s="1"/>
  <c r="I4" i="7"/>
  <c r="H4" i="7"/>
  <c r="H5" i="7" s="1"/>
  <c r="G4" i="7"/>
  <c r="G5" i="7" s="1"/>
  <c r="F4" i="7"/>
  <c r="F5" i="7" s="1"/>
  <c r="F6" i="7" s="1"/>
  <c r="E4" i="7"/>
  <c r="D4" i="7"/>
  <c r="D5" i="7" s="1"/>
  <c r="D6" i="7" s="1"/>
  <c r="D7" i="7" s="1"/>
  <c r="C4" i="7"/>
  <c r="C5" i="7" s="1"/>
  <c r="C6" i="7" s="1"/>
  <c r="C7" i="7" s="1"/>
  <c r="C8" i="7" s="1"/>
  <c r="C9" i="7" s="1"/>
  <c r="B4" i="7"/>
  <c r="B5" i="7" s="1"/>
  <c r="B6" i="7" s="1"/>
  <c r="B7" i="7" s="1"/>
  <c r="B8" i="7" s="1"/>
  <c r="B9" i="7" s="1"/>
  <c r="B10" i="7" s="1"/>
  <c r="D60" i="7" l="1"/>
  <c r="Q49" i="7"/>
  <c r="AC49" i="7" s="1"/>
  <c r="AD58" i="7"/>
  <c r="AD49" i="7"/>
  <c r="K30" i="7"/>
  <c r="X29" i="7"/>
  <c r="Y31" i="7"/>
  <c r="L32" i="7"/>
  <c r="B11" i="7"/>
  <c r="O10" i="7"/>
  <c r="M51" i="7"/>
  <c r="Z50" i="7"/>
  <c r="AD78" i="7"/>
  <c r="AE78" i="7"/>
  <c r="G6" i="7"/>
  <c r="T5" i="7"/>
  <c r="AF5" i="7" s="1"/>
  <c r="AH13" i="7"/>
  <c r="U15" i="7"/>
  <c r="AG15" i="7" s="1"/>
  <c r="H16" i="7"/>
  <c r="D61" i="7"/>
  <c r="Q60" i="7"/>
  <c r="O8" i="7"/>
  <c r="L50" i="7"/>
  <c r="Y49" i="7"/>
  <c r="AK49" i="7" s="1"/>
  <c r="AE5" i="7"/>
  <c r="F7" i="7"/>
  <c r="S6" i="7"/>
  <c r="T15" i="7"/>
  <c r="AF15" i="7" s="1"/>
  <c r="G16" i="7"/>
  <c r="J16" i="7"/>
  <c r="W15" i="7"/>
  <c r="AI15" i="7" s="1"/>
  <c r="E17" i="7"/>
  <c r="C10" i="7"/>
  <c r="P9" i="7"/>
  <c r="K16" i="7"/>
  <c r="X15" i="7"/>
  <c r="AL28" i="7"/>
  <c r="O60" i="7"/>
  <c r="B61" i="7"/>
  <c r="AG13" i="7"/>
  <c r="K6" i="7"/>
  <c r="X5" i="7"/>
  <c r="AJ5" i="7" s="1"/>
  <c r="L9" i="7"/>
  <c r="S30" i="7"/>
  <c r="F31" i="7"/>
  <c r="D15" i="7"/>
  <c r="Q14" i="7"/>
  <c r="AD4" i="7"/>
  <c r="AC5" i="7"/>
  <c r="AD5" i="7"/>
  <c r="R59" i="7"/>
  <c r="AD59" i="7" s="1"/>
  <c r="E60" i="7"/>
  <c r="O7" i="7"/>
  <c r="W5" i="7"/>
  <c r="J6" i="7"/>
  <c r="M6" i="7"/>
  <c r="AE4" i="7"/>
  <c r="Y63" i="7"/>
  <c r="L64" i="7"/>
  <c r="H6" i="7"/>
  <c r="U5" i="7"/>
  <c r="L17" i="7"/>
  <c r="Y16" i="7"/>
  <c r="U29" i="7"/>
  <c r="AG29" i="7" s="1"/>
  <c r="H30" i="7"/>
  <c r="O30" i="7"/>
  <c r="AB30" i="7" s="1"/>
  <c r="B31" i="7"/>
  <c r="S20" i="7"/>
  <c r="F21" i="7"/>
  <c r="AB5" i="7"/>
  <c r="AF4" i="7"/>
  <c r="P8" i="7"/>
  <c r="AB8" i="7" s="1"/>
  <c r="Q7" i="7"/>
  <c r="AC7" i="7" s="1"/>
  <c r="D8" i="7"/>
  <c r="I16" i="7"/>
  <c r="V15" i="7"/>
  <c r="P7" i="7"/>
  <c r="O6" i="7"/>
  <c r="O9" i="7"/>
  <c r="AG14" i="7"/>
  <c r="AH14" i="7"/>
  <c r="O4" i="7"/>
  <c r="AB4" i="7" s="1"/>
  <c r="R6" i="7"/>
  <c r="AD6" i="7" s="1"/>
  <c r="E7" i="7"/>
  <c r="P6" i="7"/>
  <c r="AB6" i="7" s="1"/>
  <c r="B15" i="7"/>
  <c r="O14" i="7"/>
  <c r="AB14" i="7" s="1"/>
  <c r="AJ28" i="7"/>
  <c r="AI28" i="7"/>
  <c r="I7" i="7"/>
  <c r="V6" i="7"/>
  <c r="Q6" i="7"/>
  <c r="AL14" i="7"/>
  <c r="J30" i="7"/>
  <c r="W29" i="7"/>
  <c r="AI29" i="7" s="1"/>
  <c r="AJ13" i="7"/>
  <c r="I61" i="7"/>
  <c r="V60" i="7"/>
  <c r="AH60" i="7" s="1"/>
  <c r="AD30" i="7"/>
  <c r="K61" i="7"/>
  <c r="X60" i="7"/>
  <c r="S17" i="7"/>
  <c r="C31" i="7"/>
  <c r="V33" i="7"/>
  <c r="D31" i="7"/>
  <c r="Z60" i="7"/>
  <c r="AL60" i="7" s="1"/>
  <c r="M61" i="7"/>
  <c r="AF29" i="7"/>
  <c r="E31" i="7"/>
  <c r="V5" i="7"/>
  <c r="AH5" i="7" s="1"/>
  <c r="AH29" i="7"/>
  <c r="M31" i="7"/>
  <c r="Z30" i="7"/>
  <c r="AL30" i="7" s="1"/>
  <c r="S49" i="7"/>
  <c r="AE49" i="7" s="1"/>
  <c r="F50" i="7"/>
  <c r="W4" i="7"/>
  <c r="AB29" i="7"/>
  <c r="Z15" i="7"/>
  <c r="AL15" i="7" s="1"/>
  <c r="G32" i="7"/>
  <c r="Q50" i="7"/>
  <c r="AC50" i="7" s="1"/>
  <c r="D51" i="7"/>
  <c r="M17" i="7"/>
  <c r="Z16" i="7"/>
  <c r="AL16" i="7" s="1"/>
  <c r="V30" i="7"/>
  <c r="J50" i="7"/>
  <c r="W49" i="7"/>
  <c r="AI49" i="7" s="1"/>
  <c r="E51" i="7"/>
  <c r="R50" i="7"/>
  <c r="AB59" i="7"/>
  <c r="S63" i="7"/>
  <c r="F64" i="7"/>
  <c r="I36" i="7"/>
  <c r="V35" i="7"/>
  <c r="AC30" i="7"/>
  <c r="AK15" i="7"/>
  <c r="C17" i="7"/>
  <c r="S18" i="7"/>
  <c r="S16" i="7"/>
  <c r="AE16" i="7" s="1"/>
  <c r="AC29" i="7"/>
  <c r="K51" i="7"/>
  <c r="X50" i="7"/>
  <c r="I51" i="7"/>
  <c r="V50" i="7"/>
  <c r="C61" i="7"/>
  <c r="P60" i="7"/>
  <c r="AB60" i="7" s="1"/>
  <c r="AI78" i="7"/>
  <c r="AK58" i="7"/>
  <c r="J60" i="7"/>
  <c r="W59" i="7"/>
  <c r="AL58" i="7"/>
  <c r="AL78" i="7"/>
  <c r="U60" i="7"/>
  <c r="AG60" i="7" s="1"/>
  <c r="H61" i="7"/>
  <c r="T49" i="7"/>
  <c r="G50" i="7"/>
  <c r="H50" i="7"/>
  <c r="U49" i="7"/>
  <c r="AG49" i="7" s="1"/>
  <c r="AE59" i="7"/>
  <c r="AK48" i="7"/>
  <c r="O50" i="7"/>
  <c r="AB50" i="7" s="1"/>
  <c r="B51" i="7"/>
  <c r="AF59" i="7"/>
  <c r="G62" i="7"/>
  <c r="T61" i="7"/>
  <c r="AF61" i="7" s="1"/>
  <c r="AJ78" i="7"/>
  <c r="S60" i="7"/>
  <c r="C51" i="7"/>
  <c r="T60" i="7"/>
  <c r="Z59" i="7"/>
  <c r="AL59" i="7" s="1"/>
  <c r="AH78" i="6"/>
  <c r="AG78" i="6"/>
  <c r="Z78" i="6"/>
  <c r="Y78" i="6"/>
  <c r="AK78" i="6" s="1"/>
  <c r="X78" i="6"/>
  <c r="AJ78" i="6" s="1"/>
  <c r="W78" i="6"/>
  <c r="AI78" i="6" s="1"/>
  <c r="V78" i="6"/>
  <c r="U78" i="6"/>
  <c r="T78" i="6"/>
  <c r="S78" i="6"/>
  <c r="AF78" i="6" s="1"/>
  <c r="R78" i="6"/>
  <c r="Q78" i="6"/>
  <c r="P78" i="6"/>
  <c r="AB78" i="6" s="1"/>
  <c r="O78" i="6"/>
  <c r="E62" i="6"/>
  <c r="I61" i="6"/>
  <c r="G61" i="6"/>
  <c r="C61" i="6"/>
  <c r="L60" i="6"/>
  <c r="K60" i="6"/>
  <c r="F60" i="6"/>
  <c r="E60" i="6"/>
  <c r="E61" i="6" s="1"/>
  <c r="C60" i="6"/>
  <c r="M59" i="6"/>
  <c r="M60" i="6" s="1"/>
  <c r="L59" i="6"/>
  <c r="K59" i="6"/>
  <c r="J59" i="6"/>
  <c r="I59" i="6"/>
  <c r="I60" i="6" s="1"/>
  <c r="H59" i="6"/>
  <c r="H60" i="6" s="1"/>
  <c r="H61" i="6" s="1"/>
  <c r="H62" i="6" s="1"/>
  <c r="G59" i="6"/>
  <c r="G60" i="6" s="1"/>
  <c r="F59" i="6"/>
  <c r="E59" i="6"/>
  <c r="D59" i="6"/>
  <c r="C59" i="6"/>
  <c r="B59" i="6"/>
  <c r="AJ58" i="6"/>
  <c r="AI58" i="6"/>
  <c r="AH58" i="6"/>
  <c r="AG58" i="6"/>
  <c r="Z58" i="6"/>
  <c r="AL58" i="6" s="1"/>
  <c r="Y58" i="6"/>
  <c r="AK58" i="6" s="1"/>
  <c r="X58" i="6"/>
  <c r="W58" i="6"/>
  <c r="V58" i="6"/>
  <c r="U58" i="6"/>
  <c r="T58" i="6"/>
  <c r="S58" i="6"/>
  <c r="AF58" i="6" s="1"/>
  <c r="R58" i="6"/>
  <c r="Q58" i="6"/>
  <c r="AC58" i="6" s="1"/>
  <c r="P58" i="6"/>
  <c r="AB58" i="6" s="1"/>
  <c r="O58" i="6"/>
  <c r="D53" i="6"/>
  <c r="E52" i="6"/>
  <c r="D51" i="6"/>
  <c r="D52" i="6" s="1"/>
  <c r="M50" i="6"/>
  <c r="D50" i="6"/>
  <c r="C50" i="6"/>
  <c r="B50" i="6"/>
  <c r="M49" i="6"/>
  <c r="L49" i="6"/>
  <c r="L50" i="6" s="1"/>
  <c r="K49" i="6"/>
  <c r="K50" i="6" s="1"/>
  <c r="J49" i="6"/>
  <c r="I49" i="6"/>
  <c r="H49" i="6"/>
  <c r="G49" i="6"/>
  <c r="F49" i="6"/>
  <c r="E49" i="6"/>
  <c r="E50" i="6" s="1"/>
  <c r="E51" i="6" s="1"/>
  <c r="D49" i="6"/>
  <c r="C49" i="6"/>
  <c r="B49" i="6"/>
  <c r="AL48" i="6"/>
  <c r="AK48" i="6"/>
  <c r="AJ48" i="6"/>
  <c r="AI48" i="6"/>
  <c r="AD48" i="6"/>
  <c r="AC48" i="6"/>
  <c r="AB48" i="6"/>
  <c r="Z48" i="6"/>
  <c r="Y48" i="6"/>
  <c r="X48" i="6"/>
  <c r="W48" i="6"/>
  <c r="V48" i="6"/>
  <c r="U48" i="6"/>
  <c r="AH48" i="6" s="1"/>
  <c r="T48" i="6"/>
  <c r="S48" i="6"/>
  <c r="AE48" i="6" s="1"/>
  <c r="R48" i="6"/>
  <c r="Q48" i="6"/>
  <c r="P48" i="6"/>
  <c r="O48" i="6"/>
  <c r="X32" i="6"/>
  <c r="K32" i="6"/>
  <c r="K33" i="6" s="1"/>
  <c r="I32" i="6"/>
  <c r="U31" i="6"/>
  <c r="H31" i="6"/>
  <c r="H32" i="6" s="1"/>
  <c r="H33" i="6" s="1"/>
  <c r="G31" i="6"/>
  <c r="V30" i="6"/>
  <c r="K30" i="6"/>
  <c r="K31" i="6" s="1"/>
  <c r="J30" i="6"/>
  <c r="I30" i="6"/>
  <c r="I31" i="6" s="1"/>
  <c r="G30" i="6"/>
  <c r="C30" i="6"/>
  <c r="C31" i="6" s="1"/>
  <c r="C32" i="6" s="1"/>
  <c r="B30" i="6"/>
  <c r="X29" i="6"/>
  <c r="W29" i="6"/>
  <c r="O29" i="6"/>
  <c r="M29" i="6"/>
  <c r="L29" i="6"/>
  <c r="K29" i="6"/>
  <c r="J29" i="6"/>
  <c r="I29" i="6"/>
  <c r="H29" i="6"/>
  <c r="H30" i="6" s="1"/>
  <c r="G29" i="6"/>
  <c r="F29" i="6"/>
  <c r="F30" i="6" s="1"/>
  <c r="E29" i="6"/>
  <c r="D29" i="6"/>
  <c r="C29" i="6"/>
  <c r="B29" i="6"/>
  <c r="AL28" i="6"/>
  <c r="AJ28" i="6"/>
  <c r="AE28" i="6"/>
  <c r="AB28" i="6"/>
  <c r="Z28" i="6"/>
  <c r="Y28" i="6"/>
  <c r="X28" i="6"/>
  <c r="W28" i="6"/>
  <c r="V28" i="6"/>
  <c r="U28" i="6"/>
  <c r="AG28" i="6" s="1"/>
  <c r="T28" i="6"/>
  <c r="AF28" i="6" s="1"/>
  <c r="S28" i="6"/>
  <c r="R28" i="6"/>
  <c r="Q28" i="6"/>
  <c r="AC28" i="6" s="1"/>
  <c r="P28" i="6"/>
  <c r="O28" i="6"/>
  <c r="K17" i="6"/>
  <c r="F17" i="6"/>
  <c r="M16" i="6"/>
  <c r="L16" i="6"/>
  <c r="K16" i="6"/>
  <c r="G16" i="6"/>
  <c r="E16" i="6"/>
  <c r="D16" i="6"/>
  <c r="AF15" i="6"/>
  <c r="S15" i="6"/>
  <c r="R15" i="6"/>
  <c r="M15" i="6"/>
  <c r="L15" i="6"/>
  <c r="K15" i="6"/>
  <c r="H15" i="6"/>
  <c r="G15" i="6"/>
  <c r="T15" i="6" s="1"/>
  <c r="E15" i="6"/>
  <c r="D15" i="6"/>
  <c r="B15" i="6"/>
  <c r="Z14" i="6"/>
  <c r="T14" i="6"/>
  <c r="S14" i="6"/>
  <c r="Q14" i="6"/>
  <c r="M14" i="6"/>
  <c r="L14" i="6"/>
  <c r="K14" i="6"/>
  <c r="J14" i="6"/>
  <c r="I14" i="6"/>
  <c r="H14" i="6"/>
  <c r="G14" i="6"/>
  <c r="F14" i="6"/>
  <c r="F15" i="6" s="1"/>
  <c r="F16" i="6" s="1"/>
  <c r="E14" i="6"/>
  <c r="D14" i="6"/>
  <c r="C14" i="6"/>
  <c r="B14" i="6"/>
  <c r="O14" i="6" s="1"/>
  <c r="AL13" i="6"/>
  <c r="AD13" i="6"/>
  <c r="AC13" i="6"/>
  <c r="AB13" i="6"/>
  <c r="Z13" i="6"/>
  <c r="Y13" i="6"/>
  <c r="X13" i="6"/>
  <c r="W13" i="6"/>
  <c r="AI13" i="6" s="1"/>
  <c r="V13" i="6"/>
  <c r="AH13" i="6" s="1"/>
  <c r="U13" i="6"/>
  <c r="AG13" i="6" s="1"/>
  <c r="T13" i="6"/>
  <c r="AF13" i="6" s="1"/>
  <c r="S13" i="6"/>
  <c r="R13" i="6"/>
  <c r="Q13" i="6"/>
  <c r="P13" i="6"/>
  <c r="O13" i="6"/>
  <c r="E9" i="6"/>
  <c r="E8" i="6"/>
  <c r="T6" i="6"/>
  <c r="I6" i="6"/>
  <c r="H6" i="6"/>
  <c r="G6" i="6"/>
  <c r="G7" i="6" s="1"/>
  <c r="F6" i="6"/>
  <c r="L5" i="6"/>
  <c r="J5" i="6"/>
  <c r="I5" i="6"/>
  <c r="H5" i="6"/>
  <c r="G5" i="6"/>
  <c r="T5" i="6" s="1"/>
  <c r="F5" i="6"/>
  <c r="T4" i="6"/>
  <c r="S4" i="6"/>
  <c r="M4" i="6"/>
  <c r="L4" i="6"/>
  <c r="Y4" i="6" s="1"/>
  <c r="K4" i="6"/>
  <c r="J4" i="6"/>
  <c r="W4" i="6" s="1"/>
  <c r="I4" i="6"/>
  <c r="H4" i="6"/>
  <c r="G4" i="6"/>
  <c r="F4" i="6"/>
  <c r="E4" i="6"/>
  <c r="E5" i="6" s="1"/>
  <c r="E6" i="6" s="1"/>
  <c r="E7" i="6" s="1"/>
  <c r="D4" i="6"/>
  <c r="C4" i="6"/>
  <c r="B4" i="6"/>
  <c r="B5" i="6" s="1"/>
  <c r="B6" i="6" s="1"/>
  <c r="B68" i="5"/>
  <c r="B69" i="5" s="1"/>
  <c r="B70" i="5" s="1"/>
  <c r="B71" i="5" s="1"/>
  <c r="B72" i="5" s="1"/>
  <c r="B73" i="5" s="1"/>
  <c r="B74" i="5" s="1"/>
  <c r="B75" i="5" s="1"/>
  <c r="B76" i="5" s="1"/>
  <c r="B77" i="5" s="1"/>
  <c r="L61" i="5"/>
  <c r="M60" i="5"/>
  <c r="L60" i="5"/>
  <c r="J60" i="5"/>
  <c r="H60" i="5"/>
  <c r="G60" i="5"/>
  <c r="D60" i="5"/>
  <c r="B60" i="5"/>
  <c r="B61" i="5" s="1"/>
  <c r="B62" i="5" s="1"/>
  <c r="B63" i="5" s="1"/>
  <c r="B64" i="5" s="1"/>
  <c r="B65" i="5" s="1"/>
  <c r="B66" i="5" s="1"/>
  <c r="B67" i="5" s="1"/>
  <c r="M59" i="5"/>
  <c r="L59" i="5"/>
  <c r="K59" i="5"/>
  <c r="J59" i="5"/>
  <c r="I59" i="5"/>
  <c r="H59" i="5"/>
  <c r="U59" i="6" s="1"/>
  <c r="G59" i="5"/>
  <c r="F59" i="5"/>
  <c r="E59" i="5"/>
  <c r="D59" i="5"/>
  <c r="C59" i="5"/>
  <c r="B59" i="5"/>
  <c r="M51" i="5"/>
  <c r="H51" i="5"/>
  <c r="D51" i="5"/>
  <c r="M50" i="5"/>
  <c r="J50" i="5"/>
  <c r="H50" i="5"/>
  <c r="G50" i="5"/>
  <c r="D50" i="5"/>
  <c r="C50" i="5"/>
  <c r="M49" i="5"/>
  <c r="L49" i="5"/>
  <c r="K49" i="5"/>
  <c r="J49" i="5"/>
  <c r="I49" i="5"/>
  <c r="H49" i="5"/>
  <c r="G49" i="5"/>
  <c r="F49" i="5"/>
  <c r="E49" i="5"/>
  <c r="D49" i="5"/>
  <c r="Q49" i="6" s="1"/>
  <c r="C49" i="5"/>
  <c r="B49" i="5"/>
  <c r="B38" i="5"/>
  <c r="B39" i="5" s="1"/>
  <c r="B40" i="5" s="1"/>
  <c r="B41" i="5" s="1"/>
  <c r="B42" i="5" s="1"/>
  <c r="B43" i="5" s="1"/>
  <c r="B44" i="5" s="1"/>
  <c r="B45" i="5" s="1"/>
  <c r="B46" i="5" s="1"/>
  <c r="B47" i="5" s="1"/>
  <c r="L34" i="5"/>
  <c r="I32" i="5"/>
  <c r="M31" i="5"/>
  <c r="K31" i="5"/>
  <c r="K32" i="5" s="1"/>
  <c r="I31" i="5"/>
  <c r="C31" i="5"/>
  <c r="M30" i="5"/>
  <c r="L30" i="5"/>
  <c r="L31" i="5" s="1"/>
  <c r="L32" i="5" s="1"/>
  <c r="L33" i="5" s="1"/>
  <c r="K30" i="5"/>
  <c r="X30" i="6" s="1"/>
  <c r="J30" i="5"/>
  <c r="I30" i="5"/>
  <c r="H30" i="5"/>
  <c r="H31" i="5" s="1"/>
  <c r="C30" i="5"/>
  <c r="B30" i="5"/>
  <c r="B31" i="5" s="1"/>
  <c r="B32" i="5" s="1"/>
  <c r="B33" i="5" s="1"/>
  <c r="B34" i="5" s="1"/>
  <c r="B35" i="5" s="1"/>
  <c r="B36" i="5" s="1"/>
  <c r="B37" i="5" s="1"/>
  <c r="M29" i="5"/>
  <c r="L29" i="5"/>
  <c r="K29" i="5"/>
  <c r="J29" i="5"/>
  <c r="I29" i="5"/>
  <c r="V29" i="6" s="1"/>
  <c r="H29" i="5"/>
  <c r="U29" i="6" s="1"/>
  <c r="G29" i="5"/>
  <c r="G30" i="5" s="1"/>
  <c r="F29" i="5"/>
  <c r="E29" i="5"/>
  <c r="D29" i="5"/>
  <c r="C29" i="5"/>
  <c r="B29" i="5"/>
  <c r="E18" i="5"/>
  <c r="B18" i="5"/>
  <c r="B19" i="5" s="1"/>
  <c r="B20" i="5" s="1"/>
  <c r="B21" i="5" s="1"/>
  <c r="B22" i="5" s="1"/>
  <c r="B23" i="5" s="1"/>
  <c r="B24" i="5" s="1"/>
  <c r="B25" i="5" s="1"/>
  <c r="B26" i="5" s="1"/>
  <c r="B27" i="5" s="1"/>
  <c r="E17" i="5"/>
  <c r="D17" i="5"/>
  <c r="B17" i="5"/>
  <c r="J16" i="5"/>
  <c r="J17" i="5" s="1"/>
  <c r="F16" i="5"/>
  <c r="E16" i="5"/>
  <c r="D16" i="5"/>
  <c r="M15" i="5"/>
  <c r="M16" i="5" s="1"/>
  <c r="J15" i="5"/>
  <c r="G15" i="5"/>
  <c r="G16" i="5" s="1"/>
  <c r="G17" i="5" s="1"/>
  <c r="G18" i="5" s="1"/>
  <c r="G19" i="5" s="1"/>
  <c r="D15" i="5"/>
  <c r="C15" i="5"/>
  <c r="B15" i="5"/>
  <c r="B16" i="5" s="1"/>
  <c r="M14" i="5"/>
  <c r="L14" i="5"/>
  <c r="K14" i="5"/>
  <c r="J14" i="5"/>
  <c r="I14" i="5"/>
  <c r="H14" i="5"/>
  <c r="G14" i="5"/>
  <c r="F14" i="5"/>
  <c r="F15" i="5" s="1"/>
  <c r="E14" i="5"/>
  <c r="E15" i="5" s="1"/>
  <c r="D14" i="5"/>
  <c r="C14" i="5"/>
  <c r="B14" i="5"/>
  <c r="M7" i="5"/>
  <c r="G7" i="5"/>
  <c r="L6" i="5"/>
  <c r="M5" i="5"/>
  <c r="M6" i="5" s="1"/>
  <c r="L5" i="5"/>
  <c r="K5" i="5"/>
  <c r="I5" i="5"/>
  <c r="H5" i="5"/>
  <c r="F5" i="5"/>
  <c r="E5" i="5"/>
  <c r="B5" i="5"/>
  <c r="M4" i="5"/>
  <c r="L4" i="5"/>
  <c r="K4" i="5"/>
  <c r="J4" i="5"/>
  <c r="I4" i="5"/>
  <c r="H4" i="5"/>
  <c r="G4" i="5"/>
  <c r="G5" i="5" s="1"/>
  <c r="G6" i="5" s="1"/>
  <c r="F4" i="5"/>
  <c r="E4" i="5"/>
  <c r="D4" i="5"/>
  <c r="C4" i="5"/>
  <c r="B4" i="5"/>
  <c r="C29" i="4"/>
  <c r="D25" i="4"/>
  <c r="D24" i="4"/>
  <c r="D23" i="4"/>
  <c r="D22" i="4"/>
  <c r="C22" i="4"/>
  <c r="N18" i="4"/>
  <c r="I18" i="4"/>
  <c r="G18" i="4"/>
  <c r="E18" i="4"/>
  <c r="N17" i="4"/>
  <c r="M17" i="4"/>
  <c r="I17" i="4"/>
  <c r="G17" i="4"/>
  <c r="E17" i="4"/>
  <c r="N16" i="4"/>
  <c r="M16" i="4"/>
  <c r="I16" i="4"/>
  <c r="G16" i="4"/>
  <c r="E16" i="4"/>
  <c r="N15" i="4"/>
  <c r="M15" i="4"/>
  <c r="I15" i="4"/>
  <c r="G15" i="4"/>
  <c r="E15" i="4"/>
  <c r="N14" i="4"/>
  <c r="I14" i="4"/>
  <c r="G14" i="4"/>
  <c r="E14" i="4"/>
  <c r="N13" i="4"/>
  <c r="I13" i="4"/>
  <c r="G13" i="4"/>
  <c r="E13" i="4"/>
  <c r="N12" i="4"/>
  <c r="I12" i="4"/>
  <c r="G12" i="4"/>
  <c r="E12" i="4"/>
  <c r="N11" i="4"/>
  <c r="M11" i="4"/>
  <c r="I11" i="4"/>
  <c r="G11" i="4"/>
  <c r="E11" i="4"/>
  <c r="N10" i="4"/>
  <c r="I10" i="4"/>
  <c r="G10" i="4"/>
  <c r="E10" i="4"/>
  <c r="N9" i="4"/>
  <c r="M9" i="4"/>
  <c r="I9" i="4"/>
  <c r="G9" i="4"/>
  <c r="E9" i="4"/>
  <c r="N8" i="4"/>
  <c r="M8" i="4"/>
  <c r="I8" i="4"/>
  <c r="G8" i="4"/>
  <c r="E8" i="4"/>
  <c r="N7" i="4"/>
  <c r="I7" i="4"/>
  <c r="G7" i="4"/>
  <c r="E7" i="4"/>
  <c r="N6" i="4"/>
  <c r="M6" i="4"/>
  <c r="I6" i="4"/>
  <c r="G6" i="4"/>
  <c r="E6" i="4"/>
  <c r="N5" i="4"/>
  <c r="I5" i="4"/>
  <c r="G5" i="4"/>
  <c r="G19" i="4" s="1"/>
  <c r="E5" i="4"/>
  <c r="E19" i="4" s="1"/>
  <c r="AF78" i="3"/>
  <c r="AD78" i="3"/>
  <c r="AB78" i="3"/>
  <c r="Z78" i="3"/>
  <c r="Y78" i="3"/>
  <c r="AK78" i="3" s="1"/>
  <c r="X78" i="3"/>
  <c r="W78" i="3"/>
  <c r="AI78" i="3" s="1"/>
  <c r="V78" i="3"/>
  <c r="AH78" i="3" s="1"/>
  <c r="U78" i="3"/>
  <c r="AG78" i="3" s="1"/>
  <c r="T78" i="3"/>
  <c r="S78" i="3"/>
  <c r="R78" i="3"/>
  <c r="Q78" i="3"/>
  <c r="AC78" i="3" s="1"/>
  <c r="P78" i="3"/>
  <c r="O78" i="3"/>
  <c r="I64" i="3"/>
  <c r="G63" i="3"/>
  <c r="M62" i="3"/>
  <c r="J62" i="3"/>
  <c r="G62" i="3"/>
  <c r="U61" i="3"/>
  <c r="K61" i="3"/>
  <c r="K62" i="3" s="1"/>
  <c r="J61" i="3"/>
  <c r="I61" i="3"/>
  <c r="I62" i="3" s="1"/>
  <c r="I63" i="3" s="1"/>
  <c r="G61" i="3"/>
  <c r="F61" i="3"/>
  <c r="E61" i="3"/>
  <c r="U60" i="3"/>
  <c r="S60" i="3"/>
  <c r="M60" i="3"/>
  <c r="M61" i="3" s="1"/>
  <c r="K60" i="3"/>
  <c r="J60" i="3"/>
  <c r="I60" i="3"/>
  <c r="E60" i="3"/>
  <c r="C60" i="3"/>
  <c r="U59" i="3"/>
  <c r="M59" i="3"/>
  <c r="L59" i="3"/>
  <c r="K59" i="3"/>
  <c r="J59" i="3"/>
  <c r="I59" i="3"/>
  <c r="H59" i="3"/>
  <c r="H60" i="3" s="1"/>
  <c r="H61" i="3" s="1"/>
  <c r="H62" i="3" s="1"/>
  <c r="G59" i="3"/>
  <c r="G60" i="3" s="1"/>
  <c r="F59" i="3"/>
  <c r="F60" i="3" s="1"/>
  <c r="E59" i="3"/>
  <c r="D59" i="3"/>
  <c r="C59" i="3"/>
  <c r="B59" i="3"/>
  <c r="AM58" i="3"/>
  <c r="AL58" i="3"/>
  <c r="AK58" i="3"/>
  <c r="AC58" i="3"/>
  <c r="AB58" i="3"/>
  <c r="Z58" i="3"/>
  <c r="Y58" i="3"/>
  <c r="X58" i="3"/>
  <c r="W58" i="3"/>
  <c r="V58" i="3"/>
  <c r="AH58" i="3" s="1"/>
  <c r="U58" i="3"/>
  <c r="T58" i="3"/>
  <c r="AF58" i="3" s="1"/>
  <c r="S58" i="3"/>
  <c r="R58" i="3"/>
  <c r="AD58" i="3" s="1"/>
  <c r="Q58" i="3"/>
  <c r="P58" i="3"/>
  <c r="O58" i="3"/>
  <c r="L53" i="3"/>
  <c r="G53" i="3"/>
  <c r="L52" i="3"/>
  <c r="T51" i="3"/>
  <c r="K51" i="3"/>
  <c r="K52" i="3" s="1"/>
  <c r="F51" i="3"/>
  <c r="V50" i="3"/>
  <c r="K50" i="3"/>
  <c r="F50" i="3"/>
  <c r="D50" i="3"/>
  <c r="Y49" i="3"/>
  <c r="V49" i="3"/>
  <c r="U49" i="3"/>
  <c r="P49" i="3"/>
  <c r="M49" i="3"/>
  <c r="L49" i="3"/>
  <c r="L50" i="3" s="1"/>
  <c r="L51" i="3" s="1"/>
  <c r="K49" i="3"/>
  <c r="J49" i="3"/>
  <c r="I49" i="3"/>
  <c r="I50" i="3" s="1"/>
  <c r="I51" i="3" s="1"/>
  <c r="H49" i="3"/>
  <c r="H50" i="3" s="1"/>
  <c r="G49" i="3"/>
  <c r="G50" i="3" s="1"/>
  <c r="G51" i="3" s="1"/>
  <c r="G52" i="3" s="1"/>
  <c r="F49" i="3"/>
  <c r="E49" i="3"/>
  <c r="D49" i="3"/>
  <c r="C49" i="3"/>
  <c r="C50" i="3" s="1"/>
  <c r="C51" i="3" s="1"/>
  <c r="B49" i="3"/>
  <c r="B50" i="3" s="1"/>
  <c r="B51" i="3" s="1"/>
  <c r="AL48" i="3"/>
  <c r="AK48" i="3"/>
  <c r="AJ48" i="3"/>
  <c r="AH48" i="3"/>
  <c r="AD48" i="3"/>
  <c r="Z48" i="3"/>
  <c r="AM48" i="3" s="1"/>
  <c r="Y48" i="3"/>
  <c r="X48" i="3"/>
  <c r="W48" i="3"/>
  <c r="AI48" i="3" s="1"/>
  <c r="V48" i="3"/>
  <c r="U48" i="3"/>
  <c r="T48" i="3"/>
  <c r="AF48" i="3" s="1"/>
  <c r="S48" i="3"/>
  <c r="AE48" i="3" s="1"/>
  <c r="R48" i="3"/>
  <c r="Q48" i="3"/>
  <c r="P48" i="3"/>
  <c r="AB48" i="3" s="1"/>
  <c r="O48" i="3"/>
  <c r="K32" i="3"/>
  <c r="M31" i="3"/>
  <c r="I31" i="3"/>
  <c r="G31" i="3"/>
  <c r="D31" i="3"/>
  <c r="D32" i="3" s="1"/>
  <c r="M30" i="3"/>
  <c r="H30" i="3"/>
  <c r="G30" i="3"/>
  <c r="D30" i="3"/>
  <c r="C30" i="3"/>
  <c r="Q29" i="3"/>
  <c r="M29" i="3"/>
  <c r="L29" i="3"/>
  <c r="L30" i="3" s="1"/>
  <c r="K29" i="3"/>
  <c r="K30" i="3" s="1"/>
  <c r="K31" i="3" s="1"/>
  <c r="J29" i="3"/>
  <c r="I29" i="3"/>
  <c r="I30" i="3" s="1"/>
  <c r="H29" i="3"/>
  <c r="G29" i="3"/>
  <c r="F29" i="3"/>
  <c r="E29" i="3"/>
  <c r="D29" i="3"/>
  <c r="C29" i="3"/>
  <c r="B29" i="3"/>
  <c r="AK28" i="3"/>
  <c r="AG28" i="3"/>
  <c r="AF28" i="3"/>
  <c r="AE28" i="3"/>
  <c r="AD28" i="3"/>
  <c r="AB28" i="3"/>
  <c r="Z28" i="3"/>
  <c r="Y28" i="3"/>
  <c r="X28" i="3"/>
  <c r="W28" i="3"/>
  <c r="AJ28" i="3" s="1"/>
  <c r="V28" i="3"/>
  <c r="AI28" i="3" s="1"/>
  <c r="U28" i="3"/>
  <c r="T28" i="3"/>
  <c r="S28" i="3"/>
  <c r="R28" i="3"/>
  <c r="Q28" i="3"/>
  <c r="P28" i="3"/>
  <c r="O28" i="3"/>
  <c r="C21" i="3"/>
  <c r="C20" i="3"/>
  <c r="G18" i="3"/>
  <c r="C17" i="3"/>
  <c r="C18" i="3" s="1"/>
  <c r="C19" i="3" s="1"/>
  <c r="B17" i="3"/>
  <c r="O17" i="3" s="1"/>
  <c r="T16" i="3"/>
  <c r="P16" i="3"/>
  <c r="C16" i="3"/>
  <c r="T15" i="3"/>
  <c r="O15" i="3"/>
  <c r="L15" i="3"/>
  <c r="J15" i="3"/>
  <c r="J16" i="3" s="1"/>
  <c r="G15" i="3"/>
  <c r="G16" i="3" s="1"/>
  <c r="G17" i="3" s="1"/>
  <c r="D15" i="3"/>
  <c r="W14" i="3"/>
  <c r="Q14" i="3"/>
  <c r="P14" i="3"/>
  <c r="O14" i="3"/>
  <c r="M14" i="3"/>
  <c r="L14" i="3"/>
  <c r="K14" i="3"/>
  <c r="J14" i="3"/>
  <c r="I14" i="3"/>
  <c r="H14" i="3"/>
  <c r="G14" i="3"/>
  <c r="F14" i="3"/>
  <c r="E14" i="3"/>
  <c r="D14" i="3"/>
  <c r="C14" i="3"/>
  <c r="C15" i="3" s="1"/>
  <c r="P15" i="3" s="1"/>
  <c r="AB15" i="3" s="1"/>
  <c r="B14" i="3"/>
  <c r="B15" i="3" s="1"/>
  <c r="B16" i="3" s="1"/>
  <c r="O16" i="3" s="1"/>
  <c r="AJ13" i="3"/>
  <c r="AI13" i="3"/>
  <c r="AG13" i="3"/>
  <c r="AF13" i="3"/>
  <c r="AE13" i="3"/>
  <c r="Z13" i="3"/>
  <c r="AM13" i="3" s="1"/>
  <c r="Y13" i="3"/>
  <c r="AL13" i="3" s="1"/>
  <c r="X13" i="3"/>
  <c r="AK13" i="3" s="1"/>
  <c r="W13" i="3"/>
  <c r="V13" i="3"/>
  <c r="U13" i="3"/>
  <c r="AH13" i="3" s="1"/>
  <c r="T13" i="3"/>
  <c r="S13" i="3"/>
  <c r="R13" i="3"/>
  <c r="AD13" i="3" s="1"/>
  <c r="Q13" i="3"/>
  <c r="P13" i="3"/>
  <c r="O13" i="3"/>
  <c r="D8" i="3"/>
  <c r="G7" i="3"/>
  <c r="D7" i="3"/>
  <c r="H6" i="3"/>
  <c r="H7" i="3" s="1"/>
  <c r="G6" i="3"/>
  <c r="T5" i="3"/>
  <c r="M5" i="3"/>
  <c r="H5" i="3"/>
  <c r="G5" i="3"/>
  <c r="E5" i="3"/>
  <c r="E6" i="3" s="1"/>
  <c r="AM4" i="3"/>
  <c r="AG4" i="3"/>
  <c r="X4" i="3"/>
  <c r="T4" i="3"/>
  <c r="M4" i="3"/>
  <c r="L4" i="3"/>
  <c r="K4" i="3"/>
  <c r="K5" i="3" s="1"/>
  <c r="K6" i="3" s="1"/>
  <c r="J4" i="3"/>
  <c r="I4" i="3"/>
  <c r="H4" i="3"/>
  <c r="G4" i="3"/>
  <c r="F4" i="3"/>
  <c r="E4" i="3"/>
  <c r="D4" i="3"/>
  <c r="D5" i="3" s="1"/>
  <c r="D6" i="3" s="1"/>
  <c r="C4" i="3"/>
  <c r="B4" i="3"/>
  <c r="B5" i="3" s="1"/>
  <c r="B64" i="2"/>
  <c r="B65" i="2" s="1"/>
  <c r="B66" i="2" s="1"/>
  <c r="B67" i="2" s="1"/>
  <c r="B68" i="2" s="1"/>
  <c r="B69" i="2" s="1"/>
  <c r="B70" i="2" s="1"/>
  <c r="B71" i="2" s="1"/>
  <c r="B72" i="2" s="1"/>
  <c r="B73" i="2" s="1"/>
  <c r="B74" i="2" s="1"/>
  <c r="B75" i="2" s="1"/>
  <c r="B76" i="2" s="1"/>
  <c r="B77" i="2" s="1"/>
  <c r="B63" i="2"/>
  <c r="H62" i="2"/>
  <c r="H61" i="2"/>
  <c r="F61" i="2"/>
  <c r="B61" i="2"/>
  <c r="B62" i="2" s="1"/>
  <c r="L60" i="2"/>
  <c r="H60" i="2"/>
  <c r="F60" i="2"/>
  <c r="M59" i="2"/>
  <c r="L59" i="2"/>
  <c r="K59" i="2"/>
  <c r="J59" i="2"/>
  <c r="I59" i="2"/>
  <c r="H59" i="2"/>
  <c r="G59" i="2"/>
  <c r="F59" i="2"/>
  <c r="E59" i="2"/>
  <c r="D59" i="2"/>
  <c r="C59" i="2"/>
  <c r="B59" i="2"/>
  <c r="B60" i="2" s="1"/>
  <c r="H52" i="2"/>
  <c r="L51" i="2"/>
  <c r="K51" i="2"/>
  <c r="K52" i="2" s="1"/>
  <c r="K53" i="2" s="1"/>
  <c r="M50" i="2"/>
  <c r="L50" i="2"/>
  <c r="K50" i="2"/>
  <c r="X50" i="3" s="1"/>
  <c r="J50" i="2"/>
  <c r="I50" i="2"/>
  <c r="G50" i="2"/>
  <c r="G51" i="2" s="1"/>
  <c r="F50" i="2"/>
  <c r="E50" i="2"/>
  <c r="D50" i="2"/>
  <c r="C50" i="2"/>
  <c r="M49" i="2"/>
  <c r="L49" i="2"/>
  <c r="K49" i="2"/>
  <c r="X49" i="3" s="1"/>
  <c r="J49" i="2"/>
  <c r="I49" i="2"/>
  <c r="H49" i="2"/>
  <c r="H50" i="2" s="1"/>
  <c r="H51" i="2" s="1"/>
  <c r="G49" i="2"/>
  <c r="F49" i="2"/>
  <c r="S49" i="3" s="1"/>
  <c r="E49" i="2"/>
  <c r="D49" i="2"/>
  <c r="Q49" i="3" s="1"/>
  <c r="C49" i="2"/>
  <c r="B49" i="2"/>
  <c r="H31" i="2"/>
  <c r="E31" i="2"/>
  <c r="H30" i="2"/>
  <c r="E30" i="2"/>
  <c r="D30" i="2"/>
  <c r="B30" i="2"/>
  <c r="B31" i="2" s="1"/>
  <c r="B32" i="2" s="1"/>
  <c r="B33" i="2" s="1"/>
  <c r="B34" i="2" s="1"/>
  <c r="B35" i="2" s="1"/>
  <c r="B36" i="2" s="1"/>
  <c r="B37" i="2" s="1"/>
  <c r="B38" i="2" s="1"/>
  <c r="B39" i="2" s="1"/>
  <c r="B40" i="2" s="1"/>
  <c r="B41" i="2" s="1"/>
  <c r="B42" i="2" s="1"/>
  <c r="B43" i="2" s="1"/>
  <c r="B44" i="2" s="1"/>
  <c r="B45" i="2" s="1"/>
  <c r="B46" i="2" s="1"/>
  <c r="B47" i="2" s="1"/>
  <c r="M29" i="2"/>
  <c r="L29" i="2"/>
  <c r="K29" i="2"/>
  <c r="J29" i="2"/>
  <c r="I29" i="2"/>
  <c r="H29" i="2"/>
  <c r="G29" i="2"/>
  <c r="F29" i="2"/>
  <c r="E29" i="2"/>
  <c r="D29" i="2"/>
  <c r="C29" i="2"/>
  <c r="B29" i="2"/>
  <c r="D18" i="2"/>
  <c r="D19" i="2" s="1"/>
  <c r="G16" i="2"/>
  <c r="F16" i="2"/>
  <c r="M15" i="2"/>
  <c r="J15" i="2"/>
  <c r="G15" i="2"/>
  <c r="F15" i="2"/>
  <c r="C15" i="2"/>
  <c r="C16" i="2" s="1"/>
  <c r="B15" i="2"/>
  <c r="B16" i="2" s="1"/>
  <c r="B17" i="2" s="1"/>
  <c r="B18" i="2" s="1"/>
  <c r="B19" i="2" s="1"/>
  <c r="B20" i="2" s="1"/>
  <c r="B21" i="2" s="1"/>
  <c r="B22" i="2" s="1"/>
  <c r="B23" i="2" s="1"/>
  <c r="B24" i="2" s="1"/>
  <c r="B25" i="2" s="1"/>
  <c r="B26" i="2" s="1"/>
  <c r="B27" i="2" s="1"/>
  <c r="M14" i="2"/>
  <c r="L14" i="2"/>
  <c r="K14" i="2"/>
  <c r="K15" i="2" s="1"/>
  <c r="J14" i="2"/>
  <c r="I14" i="2"/>
  <c r="I15" i="2" s="1"/>
  <c r="H14" i="2"/>
  <c r="G14" i="2"/>
  <c r="T14" i="3" s="1"/>
  <c r="F14" i="2"/>
  <c r="E14" i="2"/>
  <c r="D14" i="2"/>
  <c r="D15" i="2" s="1"/>
  <c r="D16" i="2" s="1"/>
  <c r="D17" i="2" s="1"/>
  <c r="C14" i="2"/>
  <c r="B14" i="2"/>
  <c r="L9" i="2"/>
  <c r="L10" i="2" s="1"/>
  <c r="M6" i="2"/>
  <c r="M7" i="2" s="1"/>
  <c r="L6" i="2"/>
  <c r="L7" i="2" s="1"/>
  <c r="L8" i="2" s="1"/>
  <c r="M5" i="2"/>
  <c r="L5" i="2"/>
  <c r="K5" i="2"/>
  <c r="K6" i="2" s="1"/>
  <c r="J5" i="2"/>
  <c r="J6" i="2" s="1"/>
  <c r="I5" i="2"/>
  <c r="I6" i="2" s="1"/>
  <c r="H5" i="2"/>
  <c r="G5" i="2"/>
  <c r="F5" i="2"/>
  <c r="E5" i="2"/>
  <c r="M4" i="2"/>
  <c r="Z4" i="3" s="1"/>
  <c r="L4" i="2"/>
  <c r="K4" i="2"/>
  <c r="J4" i="2"/>
  <c r="I4" i="2"/>
  <c r="H4" i="2"/>
  <c r="U4" i="3" s="1"/>
  <c r="G4" i="2"/>
  <c r="F4" i="2"/>
  <c r="E4" i="2"/>
  <c r="D4" i="2"/>
  <c r="D5" i="2" s="1"/>
  <c r="C4" i="2"/>
  <c r="B4" i="2"/>
  <c r="C29" i="1"/>
  <c r="B6" i="1" s="1"/>
  <c r="D25" i="1"/>
  <c r="D24" i="1"/>
  <c r="D23" i="1"/>
  <c r="D22" i="1"/>
  <c r="C22" i="1"/>
  <c r="E19" i="1"/>
  <c r="N18" i="1"/>
  <c r="M18" i="1"/>
  <c r="I18" i="1"/>
  <c r="H18" i="1"/>
  <c r="G18" i="1"/>
  <c r="F18" i="1" s="1"/>
  <c r="E18" i="1"/>
  <c r="N17" i="1"/>
  <c r="I17" i="1"/>
  <c r="H17" i="1"/>
  <c r="G17" i="1"/>
  <c r="F17" i="1"/>
  <c r="E17" i="1"/>
  <c r="N16" i="1"/>
  <c r="M16" i="1"/>
  <c r="I16" i="1"/>
  <c r="H16" i="1" s="1"/>
  <c r="G16" i="1"/>
  <c r="F16" i="1" s="1"/>
  <c r="E16" i="1"/>
  <c r="N15" i="1"/>
  <c r="M15" i="1"/>
  <c r="I15" i="1"/>
  <c r="H15" i="1"/>
  <c r="G15" i="1"/>
  <c r="F15" i="1"/>
  <c r="E15" i="1"/>
  <c r="N14" i="1"/>
  <c r="M14" i="1"/>
  <c r="I14" i="1"/>
  <c r="H14" i="1" s="1"/>
  <c r="G14" i="1"/>
  <c r="F14" i="1"/>
  <c r="E14" i="1"/>
  <c r="N13" i="1"/>
  <c r="M13" i="1"/>
  <c r="I13" i="1"/>
  <c r="H13" i="1" s="1"/>
  <c r="G13" i="1"/>
  <c r="F13" i="1"/>
  <c r="E13" i="1"/>
  <c r="N12" i="1"/>
  <c r="I12" i="1"/>
  <c r="H12" i="1"/>
  <c r="G12" i="1"/>
  <c r="F12" i="1"/>
  <c r="E12" i="1"/>
  <c r="B12" i="1"/>
  <c r="N11" i="1"/>
  <c r="M11" i="1"/>
  <c r="I11" i="1"/>
  <c r="H11" i="1" s="1"/>
  <c r="G11" i="1"/>
  <c r="F11" i="1"/>
  <c r="E11" i="1"/>
  <c r="N10" i="1"/>
  <c r="M10" i="1"/>
  <c r="I10" i="1"/>
  <c r="H10" i="1"/>
  <c r="G10" i="1"/>
  <c r="F10" i="1" s="1"/>
  <c r="E10" i="1"/>
  <c r="B10" i="1"/>
  <c r="N9" i="1"/>
  <c r="M9" i="1"/>
  <c r="I9" i="1"/>
  <c r="H9" i="1" s="1"/>
  <c r="G9" i="1"/>
  <c r="F9" i="1"/>
  <c r="E9" i="1"/>
  <c r="N8" i="1"/>
  <c r="I8" i="1"/>
  <c r="H8" i="1"/>
  <c r="G8" i="1"/>
  <c r="F8" i="1"/>
  <c r="E8" i="1"/>
  <c r="B8" i="1"/>
  <c r="N7" i="1"/>
  <c r="M7" i="1"/>
  <c r="I7" i="1"/>
  <c r="H7" i="1" s="1"/>
  <c r="G7" i="1"/>
  <c r="F7" i="1" s="1"/>
  <c r="E7" i="1"/>
  <c r="N6" i="1"/>
  <c r="M6" i="1"/>
  <c r="M12" i="1" s="1"/>
  <c r="I6" i="1"/>
  <c r="H6" i="1" s="1"/>
  <c r="G6" i="1"/>
  <c r="F6" i="1"/>
  <c r="E6" i="1"/>
  <c r="N5" i="1"/>
  <c r="I5" i="1"/>
  <c r="I19" i="1" s="1"/>
  <c r="H19" i="1" s="1"/>
  <c r="H5" i="1"/>
  <c r="G5" i="1"/>
  <c r="E5" i="1"/>
  <c r="AD50" i="7" l="1"/>
  <c r="H7" i="7"/>
  <c r="U6" i="7"/>
  <c r="AK60" i="7"/>
  <c r="C62" i="7"/>
  <c r="P61" i="7"/>
  <c r="X61" i="7"/>
  <c r="K62" i="7"/>
  <c r="L65" i="7"/>
  <c r="Y64" i="7"/>
  <c r="H51" i="7"/>
  <c r="U50" i="7"/>
  <c r="AG50" i="7" s="1"/>
  <c r="I52" i="7"/>
  <c r="V51" i="7"/>
  <c r="E52" i="7"/>
  <c r="R51" i="7"/>
  <c r="M32" i="7"/>
  <c r="Z31" i="7"/>
  <c r="AL31" i="7" s="1"/>
  <c r="AH49" i="7"/>
  <c r="J17" i="7"/>
  <c r="W16" i="7"/>
  <c r="G51" i="7"/>
  <c r="T50" i="7"/>
  <c r="AF50" i="7" s="1"/>
  <c r="Y9" i="7"/>
  <c r="L10" i="7"/>
  <c r="X51" i="7"/>
  <c r="K52" i="7"/>
  <c r="J51" i="7"/>
  <c r="W50" i="7"/>
  <c r="AI50" i="7" s="1"/>
  <c r="AF60" i="7"/>
  <c r="H62" i="7"/>
  <c r="U61" i="7"/>
  <c r="AG61" i="7" s="1"/>
  <c r="E32" i="7"/>
  <c r="R31" i="7"/>
  <c r="S21" i="7"/>
  <c r="F22" i="7"/>
  <c r="AK5" i="7"/>
  <c r="X6" i="7"/>
  <c r="K7" i="7"/>
  <c r="AE6" i="7"/>
  <c r="AF49" i="7"/>
  <c r="C52" i="7"/>
  <c r="P51" i="7"/>
  <c r="AB51" i="7" s="1"/>
  <c r="J7" i="7"/>
  <c r="W6" i="7"/>
  <c r="AI6" i="7" s="1"/>
  <c r="F8" i="7"/>
  <c r="S7" i="7"/>
  <c r="Z51" i="7"/>
  <c r="M52" i="7"/>
  <c r="T6" i="7"/>
  <c r="AF6" i="7" s="1"/>
  <c r="G7" i="7"/>
  <c r="V61" i="7"/>
  <c r="AH61" i="7" s="1"/>
  <c r="I62" i="7"/>
  <c r="AJ49" i="7"/>
  <c r="Z17" i="7"/>
  <c r="AL17" i="7" s="1"/>
  <c r="M18" i="7"/>
  <c r="Z61" i="7"/>
  <c r="AL61" i="7" s="1"/>
  <c r="M62" i="7"/>
  <c r="J31" i="7"/>
  <c r="W30" i="7"/>
  <c r="AI30" i="7" s="1"/>
  <c r="O31" i="7"/>
  <c r="B32" i="7"/>
  <c r="AI5" i="7"/>
  <c r="O61" i="7"/>
  <c r="B62" i="7"/>
  <c r="AJ4" i="7"/>
  <c r="AI4" i="7"/>
  <c r="Q15" i="7"/>
  <c r="D16" i="7"/>
  <c r="E8" i="7"/>
  <c r="R7" i="7"/>
  <c r="AD7" i="7" s="1"/>
  <c r="AE60" i="7"/>
  <c r="C18" i="7"/>
  <c r="P17" i="7"/>
  <c r="D52" i="7"/>
  <c r="Q51" i="7"/>
  <c r="B12" i="7"/>
  <c r="O12" i="7" s="1"/>
  <c r="O11" i="7"/>
  <c r="Q31" i="7"/>
  <c r="D32" i="7"/>
  <c r="AC6" i="7"/>
  <c r="U30" i="7"/>
  <c r="AG30" i="7" s="1"/>
  <c r="H31" i="7"/>
  <c r="R60" i="7"/>
  <c r="AD60" i="7" s="1"/>
  <c r="E61" i="7"/>
  <c r="L51" i="7"/>
  <c r="Y50" i="7"/>
  <c r="AK50" i="7" s="1"/>
  <c r="L33" i="7"/>
  <c r="Y32" i="7"/>
  <c r="Z6" i="7"/>
  <c r="AL6" i="7" s="1"/>
  <c r="M7" i="7"/>
  <c r="AI59" i="7"/>
  <c r="AJ59" i="7"/>
  <c r="G33" i="7"/>
  <c r="T32" i="7"/>
  <c r="AH6" i="7"/>
  <c r="AB7" i="7"/>
  <c r="T62" i="7"/>
  <c r="AF62" i="7" s="1"/>
  <c r="G63" i="7"/>
  <c r="J61" i="7"/>
  <c r="W60" i="7"/>
  <c r="AI60" i="7" s="1"/>
  <c r="AL49" i="7"/>
  <c r="I8" i="7"/>
  <c r="V7" i="7"/>
  <c r="AH15" i="7"/>
  <c r="AJ15" i="7"/>
  <c r="AC60" i="7"/>
  <c r="I37" i="7"/>
  <c r="V36" i="7"/>
  <c r="I17" i="7"/>
  <c r="V16" i="7"/>
  <c r="Y17" i="7"/>
  <c r="L18" i="7"/>
  <c r="K17" i="7"/>
  <c r="X16" i="7"/>
  <c r="AJ16" i="7" s="1"/>
  <c r="D62" i="7"/>
  <c r="Q61" i="7"/>
  <c r="AC61" i="7" s="1"/>
  <c r="AJ29" i="7"/>
  <c r="AK29" i="7"/>
  <c r="S64" i="7"/>
  <c r="F65" i="7"/>
  <c r="C11" i="7"/>
  <c r="P10" i="7"/>
  <c r="AB10" i="7" s="1"/>
  <c r="F51" i="7"/>
  <c r="S50" i="7"/>
  <c r="AE50" i="7" s="1"/>
  <c r="AC14" i="7"/>
  <c r="AD14" i="7"/>
  <c r="O15" i="7"/>
  <c r="AB15" i="7" s="1"/>
  <c r="B16" i="7"/>
  <c r="E18" i="7"/>
  <c r="R17" i="7"/>
  <c r="F32" i="7"/>
  <c r="S31" i="7"/>
  <c r="AE30" i="7"/>
  <c r="AF30" i="7"/>
  <c r="G17" i="7"/>
  <c r="T16" i="7"/>
  <c r="AF16" i="7" s="1"/>
  <c r="B52" i="7"/>
  <c r="O51" i="7"/>
  <c r="P31" i="7"/>
  <c r="AB31" i="7" s="1"/>
  <c r="C32" i="7"/>
  <c r="Q8" i="7"/>
  <c r="AC8" i="7" s="1"/>
  <c r="D9" i="7"/>
  <c r="AG5" i="7"/>
  <c r="AB9" i="7"/>
  <c r="H17" i="7"/>
  <c r="U16" i="7"/>
  <c r="AG16" i="7" s="1"/>
  <c r="K31" i="7"/>
  <c r="X30" i="7"/>
  <c r="H8" i="3"/>
  <c r="C51" i="2"/>
  <c r="V32" i="6"/>
  <c r="I33" i="6"/>
  <c r="C31" i="3"/>
  <c r="I65" i="3"/>
  <c r="B18" i="1"/>
  <c r="B11" i="1"/>
  <c r="B9" i="1"/>
  <c r="B16" i="1"/>
  <c r="B7" i="1"/>
  <c r="B17" i="1"/>
  <c r="B15" i="1"/>
  <c r="B13" i="1"/>
  <c r="H6" i="2"/>
  <c r="L11" i="2"/>
  <c r="AC13" i="3"/>
  <c r="AB13" i="3"/>
  <c r="S51" i="3"/>
  <c r="F52" i="3"/>
  <c r="AB14" i="3"/>
  <c r="C22" i="3"/>
  <c r="G6" i="2"/>
  <c r="O4" i="6"/>
  <c r="B5" i="2"/>
  <c r="B6" i="2" s="1"/>
  <c r="B7" i="2" s="1"/>
  <c r="B8" i="2" s="1"/>
  <c r="B9" i="2" s="1"/>
  <c r="B10" i="2" s="1"/>
  <c r="B11" i="2" s="1"/>
  <c r="B12" i="2" s="1"/>
  <c r="O4" i="3"/>
  <c r="AB4" i="3"/>
  <c r="C5" i="2"/>
  <c r="K7" i="2"/>
  <c r="C5" i="3"/>
  <c r="P4" i="3"/>
  <c r="G8" i="3"/>
  <c r="D33" i="3"/>
  <c r="D6" i="2"/>
  <c r="Q6" i="3" s="1"/>
  <c r="K54" i="2"/>
  <c r="G32" i="3"/>
  <c r="G54" i="3"/>
  <c r="M15" i="3"/>
  <c r="Z14" i="3"/>
  <c r="AL14" i="3" s="1"/>
  <c r="L31" i="3"/>
  <c r="X59" i="3"/>
  <c r="AJ59" i="3"/>
  <c r="K60" i="2"/>
  <c r="E6" i="2"/>
  <c r="H32" i="2"/>
  <c r="I7" i="2"/>
  <c r="F5" i="1"/>
  <c r="G19" i="1"/>
  <c r="F19" i="1" s="1"/>
  <c r="J7" i="2"/>
  <c r="O5" i="3"/>
  <c r="W16" i="3"/>
  <c r="J17" i="3"/>
  <c r="AI29" i="3"/>
  <c r="J30" i="2"/>
  <c r="I32" i="3"/>
  <c r="M8" i="2"/>
  <c r="X29" i="3"/>
  <c r="K30" i="2"/>
  <c r="L54" i="3"/>
  <c r="AD14" i="3"/>
  <c r="E15" i="2"/>
  <c r="F17" i="2"/>
  <c r="AK29" i="3"/>
  <c r="L30" i="2"/>
  <c r="Q5" i="3"/>
  <c r="H15" i="2"/>
  <c r="W59" i="3"/>
  <c r="AI59" i="3" s="1"/>
  <c r="J60" i="2"/>
  <c r="D51" i="2"/>
  <c r="F6" i="2"/>
  <c r="M16" i="2"/>
  <c r="AK51" i="3"/>
  <c r="L52" i="2"/>
  <c r="F5" i="3"/>
  <c r="S4" i="3"/>
  <c r="AF4" i="3" s="1"/>
  <c r="M32" i="3"/>
  <c r="B14" i="1"/>
  <c r="AE14" i="3"/>
  <c r="G17" i="2"/>
  <c r="Z29" i="3"/>
  <c r="AM29" i="3" s="1"/>
  <c r="M30" i="2"/>
  <c r="AK49" i="3"/>
  <c r="R5" i="3"/>
  <c r="AD5" i="3" s="1"/>
  <c r="D9" i="3"/>
  <c r="I19" i="4"/>
  <c r="H19" i="4" s="1"/>
  <c r="H5" i="4"/>
  <c r="AF14" i="3"/>
  <c r="D20" i="2"/>
  <c r="AH59" i="3"/>
  <c r="I60" i="2"/>
  <c r="P51" i="3"/>
  <c r="R5" i="6"/>
  <c r="AE5" i="6" s="1"/>
  <c r="E6" i="5"/>
  <c r="AC78" i="6"/>
  <c r="AD78" i="6"/>
  <c r="J16" i="2"/>
  <c r="F51" i="2"/>
  <c r="AF51" i="3" s="1"/>
  <c r="X5" i="3"/>
  <c r="U62" i="3"/>
  <c r="H63" i="3"/>
  <c r="AB30" i="6"/>
  <c r="L35" i="5"/>
  <c r="T30" i="3"/>
  <c r="AG30" i="3" s="1"/>
  <c r="B52" i="3"/>
  <c r="F8" i="4"/>
  <c r="F15" i="4"/>
  <c r="F13" i="4"/>
  <c r="H6" i="4"/>
  <c r="F12" i="4"/>
  <c r="H16" i="4"/>
  <c r="H11" i="4"/>
  <c r="H8" i="4"/>
  <c r="F6" i="4"/>
  <c r="F18" i="4"/>
  <c r="H12" i="4"/>
  <c r="AM59" i="3"/>
  <c r="M60" i="2"/>
  <c r="AL59" i="3"/>
  <c r="W15" i="3"/>
  <c r="X51" i="3"/>
  <c r="K16" i="2"/>
  <c r="O49" i="3"/>
  <c r="B50" i="2"/>
  <c r="G52" i="2"/>
  <c r="I5" i="3"/>
  <c r="V4" i="3"/>
  <c r="AH4" i="3" s="1"/>
  <c r="R49" i="3"/>
  <c r="AE49" i="3" s="1"/>
  <c r="E50" i="3"/>
  <c r="AI58" i="3"/>
  <c r="AJ58" i="3"/>
  <c r="V59" i="3"/>
  <c r="M5" i="6"/>
  <c r="Z4" i="6"/>
  <c r="AL4" i="6" s="1"/>
  <c r="B31" i="6"/>
  <c r="O30" i="6"/>
  <c r="Y14" i="3"/>
  <c r="AK14" i="3" s="1"/>
  <c r="L15" i="2"/>
  <c r="Y15" i="3" s="1"/>
  <c r="AB49" i="3"/>
  <c r="AH50" i="3"/>
  <c r="J5" i="3"/>
  <c r="W4" i="3"/>
  <c r="AI4" i="3" s="1"/>
  <c r="AH5" i="6"/>
  <c r="I6" i="5"/>
  <c r="K7" i="3"/>
  <c r="X6" i="3"/>
  <c r="R14" i="3"/>
  <c r="B18" i="3"/>
  <c r="AM28" i="3"/>
  <c r="AL28" i="3"/>
  <c r="J30" i="3"/>
  <c r="W29" i="3"/>
  <c r="AJ29" i="3" s="1"/>
  <c r="P50" i="3"/>
  <c r="C5" i="5"/>
  <c r="K6" i="5"/>
  <c r="AI30" i="6"/>
  <c r="J31" i="5"/>
  <c r="K34" i="6"/>
  <c r="Y59" i="3"/>
  <c r="L60" i="3"/>
  <c r="H14" i="4"/>
  <c r="L61" i="2"/>
  <c r="Y29" i="3"/>
  <c r="Y52" i="3"/>
  <c r="T49" i="3"/>
  <c r="AG49" i="3" s="1"/>
  <c r="AF49" i="3"/>
  <c r="M51" i="2"/>
  <c r="H53" i="2"/>
  <c r="D60" i="2"/>
  <c r="H15" i="3"/>
  <c r="U14" i="3"/>
  <c r="AG14" i="3" s="1"/>
  <c r="AM14" i="3"/>
  <c r="G19" i="3"/>
  <c r="AK13" i="6"/>
  <c r="AJ13" i="6"/>
  <c r="X59" i="6"/>
  <c r="AJ59" i="6"/>
  <c r="K60" i="5"/>
  <c r="X60" i="6" s="1"/>
  <c r="E51" i="2"/>
  <c r="Y4" i="3"/>
  <c r="AK4" i="3" s="1"/>
  <c r="L5" i="3"/>
  <c r="C52" i="3"/>
  <c r="AB16" i="3"/>
  <c r="C17" i="2"/>
  <c r="P59" i="3"/>
  <c r="AC59" i="3" s="1"/>
  <c r="C60" i="2"/>
  <c r="P60" i="3" s="1"/>
  <c r="C23" i="1"/>
  <c r="D12" i="1" s="1"/>
  <c r="D31" i="2"/>
  <c r="B6" i="3"/>
  <c r="V14" i="3"/>
  <c r="AH14" i="3" s="1"/>
  <c r="I15" i="3"/>
  <c r="G30" i="2"/>
  <c r="E32" i="2"/>
  <c r="I51" i="2"/>
  <c r="S59" i="3"/>
  <c r="AE59" i="3"/>
  <c r="H63" i="2"/>
  <c r="Q4" i="3"/>
  <c r="AC4" i="3" s="1"/>
  <c r="Z5" i="3"/>
  <c r="AM5" i="3" s="1"/>
  <c r="M6" i="3"/>
  <c r="E15" i="3"/>
  <c r="V29" i="3"/>
  <c r="K33" i="3"/>
  <c r="Y51" i="3"/>
  <c r="Y50" i="3"/>
  <c r="K63" i="3"/>
  <c r="W5" i="6"/>
  <c r="J6" i="6"/>
  <c r="B6" i="5"/>
  <c r="B7" i="5" s="1"/>
  <c r="B8" i="5" s="1"/>
  <c r="B9" i="5" s="1"/>
  <c r="B10" i="5" s="1"/>
  <c r="B11" i="5" s="1"/>
  <c r="B12" i="5" s="1"/>
  <c r="O5" i="6"/>
  <c r="I16" i="2"/>
  <c r="H31" i="3"/>
  <c r="U30" i="3"/>
  <c r="P29" i="3"/>
  <c r="AC29" i="3" s="1"/>
  <c r="C30" i="2"/>
  <c r="P30" i="3" s="1"/>
  <c r="E7" i="3"/>
  <c r="R6" i="3"/>
  <c r="F30" i="2"/>
  <c r="R59" i="3"/>
  <c r="E60" i="2"/>
  <c r="AD59" i="3"/>
  <c r="U5" i="3"/>
  <c r="AG5" i="3" s="1"/>
  <c r="D16" i="3"/>
  <c r="Q15" i="3"/>
  <c r="AC15" i="3" s="1"/>
  <c r="D18" i="5"/>
  <c r="AI49" i="3"/>
  <c r="J51" i="2"/>
  <c r="T59" i="3"/>
  <c r="AG59" i="3" s="1"/>
  <c r="G60" i="2"/>
  <c r="R4" i="3"/>
  <c r="AD4" i="3" s="1"/>
  <c r="K15" i="3"/>
  <c r="X14" i="3"/>
  <c r="AJ14" i="3" s="1"/>
  <c r="AH28" i="3"/>
  <c r="AG48" i="3"/>
  <c r="M50" i="3"/>
  <c r="Z49" i="3"/>
  <c r="AL49" i="3" s="1"/>
  <c r="G64" i="3"/>
  <c r="I30" i="2"/>
  <c r="F62" i="2"/>
  <c r="Q31" i="3"/>
  <c r="F19" i="4"/>
  <c r="H17" i="4"/>
  <c r="D5" i="5"/>
  <c r="AC4" i="6"/>
  <c r="AB50" i="6"/>
  <c r="C51" i="5"/>
  <c r="P4" i="6"/>
  <c r="AB4" i="6" s="1"/>
  <c r="C5" i="6"/>
  <c r="C33" i="6"/>
  <c r="E30" i="5"/>
  <c r="Y5" i="6"/>
  <c r="L6" i="6"/>
  <c r="AK50" i="3"/>
  <c r="O29" i="3"/>
  <c r="B30" i="3"/>
  <c r="J61" i="5"/>
  <c r="K53" i="3"/>
  <c r="X52" i="3"/>
  <c r="B60" i="3"/>
  <c r="O59" i="3"/>
  <c r="H9" i="4"/>
  <c r="K33" i="5"/>
  <c r="M61" i="5"/>
  <c r="R16" i="6"/>
  <c r="AD16" i="6" s="1"/>
  <c r="E17" i="6"/>
  <c r="M8" i="1"/>
  <c r="M17" i="1"/>
  <c r="AH49" i="3"/>
  <c r="L16" i="3"/>
  <c r="E30" i="3"/>
  <c r="R29" i="3"/>
  <c r="AD29" i="3" s="1"/>
  <c r="H61" i="5"/>
  <c r="M8" i="5"/>
  <c r="F60" i="5"/>
  <c r="S59" i="6"/>
  <c r="B16" i="6"/>
  <c r="O15" i="6"/>
  <c r="Q50" i="3"/>
  <c r="AC50" i="3" s="1"/>
  <c r="D51" i="3"/>
  <c r="D60" i="3"/>
  <c r="Q59" i="3"/>
  <c r="F15" i="3"/>
  <c r="S14" i="3"/>
  <c r="AC14" i="3"/>
  <c r="T29" i="3"/>
  <c r="AF29" i="3" s="1"/>
  <c r="I52" i="3"/>
  <c r="V51" i="3"/>
  <c r="S50" i="3"/>
  <c r="C61" i="3"/>
  <c r="F62" i="3"/>
  <c r="S61" i="3"/>
  <c r="H15" i="5"/>
  <c r="U15" i="6" s="1"/>
  <c r="M52" i="5"/>
  <c r="L17" i="6"/>
  <c r="O50" i="6"/>
  <c r="B51" i="6"/>
  <c r="U60" i="6"/>
  <c r="AG60" i="6" s="1"/>
  <c r="F30" i="3"/>
  <c r="S29" i="3"/>
  <c r="AE29" i="3" s="1"/>
  <c r="H51" i="3"/>
  <c r="U50" i="3"/>
  <c r="R49" i="6"/>
  <c r="AE49" i="6" s="1"/>
  <c r="E50" i="5"/>
  <c r="L62" i="5"/>
  <c r="W49" i="3"/>
  <c r="AJ49" i="3" s="1"/>
  <c r="J50" i="3"/>
  <c r="F10" i="4"/>
  <c r="I33" i="5"/>
  <c r="P31" i="6"/>
  <c r="C62" i="6"/>
  <c r="D18" i="4"/>
  <c r="I15" i="5"/>
  <c r="X4" i="6"/>
  <c r="AJ4" i="6" s="1"/>
  <c r="K5" i="6"/>
  <c r="C15" i="6"/>
  <c r="P14" i="6"/>
  <c r="R29" i="6"/>
  <c r="AD29" i="6" s="1"/>
  <c r="E30" i="6"/>
  <c r="AI14" i="3"/>
  <c r="AC28" i="3"/>
  <c r="X30" i="3"/>
  <c r="E62" i="3"/>
  <c r="H18" i="4"/>
  <c r="V4" i="6"/>
  <c r="AH4" i="6"/>
  <c r="L7" i="5"/>
  <c r="L15" i="5"/>
  <c r="Y15" i="6" s="1"/>
  <c r="Y14" i="6"/>
  <c r="D30" i="5"/>
  <c r="F7" i="6"/>
  <c r="Q30" i="3"/>
  <c r="AC30" i="3" s="1"/>
  <c r="AC48" i="3"/>
  <c r="H10" i="4"/>
  <c r="G8" i="5"/>
  <c r="AE29" i="6"/>
  <c r="F30" i="5"/>
  <c r="S30" i="6" s="1"/>
  <c r="C32" i="5"/>
  <c r="P32" i="6" s="1"/>
  <c r="B50" i="5"/>
  <c r="B51" i="5" s="1"/>
  <c r="B52" i="5" s="1"/>
  <c r="B53" i="5" s="1"/>
  <c r="B54" i="5" s="1"/>
  <c r="B55" i="5" s="1"/>
  <c r="B56" i="5" s="1"/>
  <c r="B57" i="5" s="1"/>
  <c r="O49" i="6"/>
  <c r="J51" i="5"/>
  <c r="K51" i="6"/>
  <c r="F5" i="4"/>
  <c r="F16" i="4"/>
  <c r="C16" i="5"/>
  <c r="E19" i="5"/>
  <c r="P49" i="6"/>
  <c r="AC49" i="6" s="1"/>
  <c r="Z59" i="6"/>
  <c r="AL59" i="6" s="1"/>
  <c r="I15" i="6"/>
  <c r="V14" i="6"/>
  <c r="F18" i="6"/>
  <c r="G32" i="6"/>
  <c r="L51" i="6"/>
  <c r="Y50" i="6"/>
  <c r="Q15" i="6"/>
  <c r="AH31" i="6"/>
  <c r="E10" i="6"/>
  <c r="J15" i="6"/>
  <c r="W14" i="6"/>
  <c r="K18" i="6"/>
  <c r="AC49" i="3"/>
  <c r="M63" i="3"/>
  <c r="F14" i="4"/>
  <c r="F50" i="5"/>
  <c r="H52" i="5"/>
  <c r="T60" i="6"/>
  <c r="G61" i="5"/>
  <c r="P50" i="6"/>
  <c r="C51" i="6"/>
  <c r="AJ78" i="3"/>
  <c r="S5" i="6"/>
  <c r="F6" i="5"/>
  <c r="AF5" i="6"/>
  <c r="AI29" i="6"/>
  <c r="H16" i="6"/>
  <c r="F31" i="6"/>
  <c r="R4" i="6"/>
  <c r="AE4" i="6" s="1"/>
  <c r="AD4" i="6"/>
  <c r="H50" i="6"/>
  <c r="U49" i="6"/>
  <c r="H7" i="4"/>
  <c r="AB14" i="6"/>
  <c r="L50" i="5"/>
  <c r="Y49" i="6"/>
  <c r="AK49" i="6" s="1"/>
  <c r="Q59" i="6"/>
  <c r="D60" i="6"/>
  <c r="U29" i="3"/>
  <c r="AG29" i="3" s="1"/>
  <c r="T50" i="3"/>
  <c r="H13" i="4"/>
  <c r="D16" i="4"/>
  <c r="F17" i="5"/>
  <c r="S17" i="6" s="1"/>
  <c r="AE16" i="6"/>
  <c r="AJ30" i="6"/>
  <c r="Q16" i="6"/>
  <c r="D17" i="6"/>
  <c r="S29" i="6"/>
  <c r="H34" i="6"/>
  <c r="Z59" i="3"/>
  <c r="H6" i="5"/>
  <c r="G20" i="5"/>
  <c r="G31" i="5"/>
  <c r="T31" i="6" s="1"/>
  <c r="T30" i="6"/>
  <c r="U5" i="6"/>
  <c r="AG5" i="6" s="1"/>
  <c r="U14" i="6"/>
  <c r="AH14" i="6" s="1"/>
  <c r="T16" i="6"/>
  <c r="G17" i="6"/>
  <c r="D54" i="6"/>
  <c r="B60" i="6"/>
  <c r="O59" i="6"/>
  <c r="AB59" i="6" s="1"/>
  <c r="F61" i="6"/>
  <c r="AE58" i="3"/>
  <c r="AM78" i="3"/>
  <c r="AL78" i="3"/>
  <c r="AJ29" i="6"/>
  <c r="AJ49" i="6"/>
  <c r="K50" i="5"/>
  <c r="X50" i="6" s="1"/>
  <c r="P59" i="6"/>
  <c r="C60" i="5"/>
  <c r="M51" i="6"/>
  <c r="Z50" i="6"/>
  <c r="AL50" i="6" s="1"/>
  <c r="AG58" i="3"/>
  <c r="M13" i="4"/>
  <c r="M7" i="4"/>
  <c r="B6" i="4"/>
  <c r="M14" i="4"/>
  <c r="M12" i="4"/>
  <c r="M10" i="4"/>
  <c r="F9" i="4"/>
  <c r="M18" i="4"/>
  <c r="U4" i="6"/>
  <c r="AG4" i="6" s="1"/>
  <c r="Z49" i="6"/>
  <c r="AL49" i="6" s="1"/>
  <c r="E60" i="5"/>
  <c r="J63" i="3"/>
  <c r="F7" i="4"/>
  <c r="H32" i="5"/>
  <c r="G51" i="5"/>
  <c r="T7" i="6"/>
  <c r="G8" i="6"/>
  <c r="Q51" i="6"/>
  <c r="X14" i="6"/>
  <c r="AJ14" i="6" s="1"/>
  <c r="K15" i="5"/>
  <c r="J18" i="5"/>
  <c r="AE15" i="6"/>
  <c r="V31" i="6"/>
  <c r="T49" i="6"/>
  <c r="AF49" i="6" s="1"/>
  <c r="G50" i="6"/>
  <c r="AD28" i="6"/>
  <c r="Q29" i="6"/>
  <c r="AC29" i="6" s="1"/>
  <c r="D30" i="6"/>
  <c r="AH29" i="6"/>
  <c r="B7" i="6"/>
  <c r="AI28" i="6"/>
  <c r="AH28" i="6"/>
  <c r="D13" i="4"/>
  <c r="J5" i="5"/>
  <c r="AI4" i="6"/>
  <c r="U6" i="6"/>
  <c r="R14" i="6"/>
  <c r="AD14" i="6" s="1"/>
  <c r="M17" i="6"/>
  <c r="Z16" i="6"/>
  <c r="W30" i="6"/>
  <c r="F17" i="4"/>
  <c r="M32" i="5"/>
  <c r="D52" i="5"/>
  <c r="AF4" i="6"/>
  <c r="S16" i="6"/>
  <c r="L30" i="6"/>
  <c r="Y29" i="6"/>
  <c r="X31" i="6"/>
  <c r="T59" i="6"/>
  <c r="AG59" i="6" s="1"/>
  <c r="I62" i="6"/>
  <c r="AE78" i="3"/>
  <c r="C23" i="4"/>
  <c r="I50" i="5"/>
  <c r="AH59" i="6"/>
  <c r="I60" i="5"/>
  <c r="M30" i="6"/>
  <c r="Z29" i="6"/>
  <c r="AL29" i="6" s="1"/>
  <c r="E53" i="6"/>
  <c r="F11" i="4"/>
  <c r="H15" i="4"/>
  <c r="AF14" i="6"/>
  <c r="M17" i="5"/>
  <c r="P29" i="6"/>
  <c r="AB29" i="6" s="1"/>
  <c r="H7" i="6"/>
  <c r="V59" i="6"/>
  <c r="V6" i="6"/>
  <c r="D5" i="6"/>
  <c r="Q4" i="6"/>
  <c r="J31" i="6"/>
  <c r="V49" i="6"/>
  <c r="AH49" i="6" s="1"/>
  <c r="I50" i="6"/>
  <c r="D61" i="5"/>
  <c r="V5" i="6"/>
  <c r="W49" i="6"/>
  <c r="AI49" i="6" s="1"/>
  <c r="J50" i="6"/>
  <c r="AC59" i="6"/>
  <c r="I7" i="6"/>
  <c r="AE13" i="6"/>
  <c r="AD58" i="6"/>
  <c r="E63" i="6"/>
  <c r="AC14" i="6"/>
  <c r="AK29" i="6"/>
  <c r="AG49" i="6"/>
  <c r="AK59" i="6"/>
  <c r="P60" i="6"/>
  <c r="G62" i="6"/>
  <c r="AF48" i="6"/>
  <c r="AG48" i="6"/>
  <c r="W59" i="6"/>
  <c r="AI59" i="6" s="1"/>
  <c r="J60" i="6"/>
  <c r="Z15" i="6"/>
  <c r="T29" i="6"/>
  <c r="AG29" i="6" s="1"/>
  <c r="K61" i="6"/>
  <c r="AE78" i="6"/>
  <c r="AK28" i="6"/>
  <c r="U30" i="6"/>
  <c r="AG30" i="6" s="1"/>
  <c r="Y60" i="6"/>
  <c r="AK60" i="6" s="1"/>
  <c r="L61" i="6"/>
  <c r="P30" i="6"/>
  <c r="AE58" i="6"/>
  <c r="M61" i="6"/>
  <c r="Z60" i="6"/>
  <c r="Q50" i="6"/>
  <c r="AC50" i="6" s="1"/>
  <c r="H63" i="6"/>
  <c r="V60" i="6"/>
  <c r="AL78" i="6"/>
  <c r="S49" i="6"/>
  <c r="F50" i="6"/>
  <c r="X49" i="6"/>
  <c r="Y59" i="6"/>
  <c r="R59" i="6"/>
  <c r="AD59" i="6" s="1"/>
  <c r="F33" i="7" l="1"/>
  <c r="S32" i="7"/>
  <c r="V8" i="7"/>
  <c r="I9" i="7"/>
  <c r="D63" i="7"/>
  <c r="Q62" i="7"/>
  <c r="Y33" i="7"/>
  <c r="L34" i="7"/>
  <c r="D10" i="7"/>
  <c r="Q9" i="7"/>
  <c r="AC9" i="7" s="1"/>
  <c r="W61" i="7"/>
  <c r="AI61" i="7" s="1"/>
  <c r="J62" i="7"/>
  <c r="K53" i="7"/>
  <c r="X52" i="7"/>
  <c r="T63" i="7"/>
  <c r="AF63" i="7" s="1"/>
  <c r="G64" i="7"/>
  <c r="V62" i="7"/>
  <c r="I63" i="7"/>
  <c r="P32" i="7"/>
  <c r="C33" i="7"/>
  <c r="AH16" i="7"/>
  <c r="H32" i="7"/>
  <c r="U31" i="7"/>
  <c r="Y10" i="7"/>
  <c r="L11" i="7"/>
  <c r="L66" i="7"/>
  <c r="Y65" i="7"/>
  <c r="I18" i="7"/>
  <c r="V17" i="7"/>
  <c r="AH17" i="7" s="1"/>
  <c r="G8" i="7"/>
  <c r="T7" i="7"/>
  <c r="AF7" i="7" s="1"/>
  <c r="X7" i="7"/>
  <c r="K8" i="7"/>
  <c r="X62" i="7"/>
  <c r="K63" i="7"/>
  <c r="B53" i="7"/>
  <c r="O52" i="7"/>
  <c r="F52" i="7"/>
  <c r="S51" i="7"/>
  <c r="AE51" i="7" s="1"/>
  <c r="Q32" i="7"/>
  <c r="AC32" i="7" s="1"/>
  <c r="D33" i="7"/>
  <c r="G52" i="7"/>
  <c r="T51" i="7"/>
  <c r="AF51" i="7" s="1"/>
  <c r="AB61" i="7"/>
  <c r="C19" i="7"/>
  <c r="P18" i="7"/>
  <c r="V52" i="7"/>
  <c r="I53" i="7"/>
  <c r="V37" i="7"/>
  <c r="I38" i="7"/>
  <c r="AF32" i="7"/>
  <c r="AC31" i="7"/>
  <c r="Z52" i="7"/>
  <c r="M53" i="7"/>
  <c r="S22" i="7"/>
  <c r="F23" i="7"/>
  <c r="AI16" i="7"/>
  <c r="C63" i="7"/>
  <c r="P62" i="7"/>
  <c r="AB62" i="7" s="1"/>
  <c r="E53" i="7"/>
  <c r="R52" i="7"/>
  <c r="L19" i="7"/>
  <c r="Y18" i="7"/>
  <c r="AJ6" i="7"/>
  <c r="AK6" i="7"/>
  <c r="G18" i="7"/>
  <c r="T17" i="7"/>
  <c r="AF17" i="7" s="1"/>
  <c r="C12" i="7"/>
  <c r="P12" i="7" s="1"/>
  <c r="AB12" i="7" s="1"/>
  <c r="P11" i="7"/>
  <c r="AB11" i="7" s="1"/>
  <c r="G34" i="7"/>
  <c r="T33" i="7"/>
  <c r="O32" i="7"/>
  <c r="B33" i="7"/>
  <c r="AL51" i="7"/>
  <c r="J18" i="7"/>
  <c r="W17" i="7"/>
  <c r="C53" i="7"/>
  <c r="P52" i="7"/>
  <c r="AB52" i="7" s="1"/>
  <c r="AH50" i="7"/>
  <c r="AJ50" i="7"/>
  <c r="F66" i="7"/>
  <c r="S65" i="7"/>
  <c r="AE7" i="7"/>
  <c r="AD31" i="7"/>
  <c r="AJ60" i="7"/>
  <c r="Z18" i="7"/>
  <c r="AL18" i="7" s="1"/>
  <c r="M19" i="7"/>
  <c r="O62" i="7"/>
  <c r="B63" i="7"/>
  <c r="AC51" i="7"/>
  <c r="F9" i="7"/>
  <c r="S8" i="7"/>
  <c r="E33" i="7"/>
  <c r="R32" i="7"/>
  <c r="AG6" i="7"/>
  <c r="Q16" i="7"/>
  <c r="D17" i="7"/>
  <c r="M8" i="7"/>
  <c r="Z7" i="7"/>
  <c r="AL7" i="7" s="1"/>
  <c r="D53" i="7"/>
  <c r="Q52" i="7"/>
  <c r="AC52" i="7" s="1"/>
  <c r="J32" i="7"/>
  <c r="W31" i="7"/>
  <c r="AI31" i="7" s="1"/>
  <c r="AH30" i="7"/>
  <c r="M33" i="7"/>
  <c r="Z32" i="7"/>
  <c r="AL32" i="7" s="1"/>
  <c r="H8" i="7"/>
  <c r="U7" i="7"/>
  <c r="AG7" i="7" s="1"/>
  <c r="U62" i="7"/>
  <c r="AG62" i="7" s="1"/>
  <c r="H63" i="7"/>
  <c r="U17" i="7"/>
  <c r="H18" i="7"/>
  <c r="R18" i="7"/>
  <c r="E19" i="7"/>
  <c r="K18" i="7"/>
  <c r="X17" i="7"/>
  <c r="AJ17" i="7" s="1"/>
  <c r="Y51" i="7"/>
  <c r="AK51" i="7" s="1"/>
  <c r="L52" i="7"/>
  <c r="E9" i="7"/>
  <c r="R8" i="7"/>
  <c r="AD8" i="7" s="1"/>
  <c r="J52" i="7"/>
  <c r="W51" i="7"/>
  <c r="AI51" i="7" s="1"/>
  <c r="O16" i="7"/>
  <c r="AB16" i="7" s="1"/>
  <c r="B17" i="7"/>
  <c r="R61" i="7"/>
  <c r="E62" i="7"/>
  <c r="H52" i="7"/>
  <c r="U51" i="7"/>
  <c r="AH51" i="7" s="1"/>
  <c r="AC15" i="7"/>
  <c r="AD15" i="7"/>
  <c r="AL50" i="7"/>
  <c r="AJ51" i="7"/>
  <c r="AJ61" i="7"/>
  <c r="AK61" i="7"/>
  <c r="AK16" i="7"/>
  <c r="AJ30" i="7"/>
  <c r="AK30" i="7"/>
  <c r="K32" i="7"/>
  <c r="X31" i="7"/>
  <c r="AE31" i="7"/>
  <c r="AF31" i="7"/>
  <c r="AH7" i="7"/>
  <c r="M63" i="7"/>
  <c r="Z62" i="7"/>
  <c r="AL62" i="7" s="1"/>
  <c r="W7" i="7"/>
  <c r="AI7" i="7" s="1"/>
  <c r="J8" i="7"/>
  <c r="AD51" i="7"/>
  <c r="AE17" i="7"/>
  <c r="AC15" i="6"/>
  <c r="AC5" i="3"/>
  <c r="J18" i="3"/>
  <c r="W17" i="3"/>
  <c r="F51" i="6"/>
  <c r="S50" i="6"/>
  <c r="AE50" i="6" s="1"/>
  <c r="D6" i="6"/>
  <c r="Q5" i="6"/>
  <c r="H33" i="5"/>
  <c r="U32" i="6"/>
  <c r="B12" i="4"/>
  <c r="B7" i="4"/>
  <c r="B18" i="4"/>
  <c r="B11" i="4"/>
  <c r="B9" i="4"/>
  <c r="B17" i="4"/>
  <c r="B10" i="4"/>
  <c r="B14" i="4"/>
  <c r="B8" i="4"/>
  <c r="B16" i="4"/>
  <c r="B13" i="4"/>
  <c r="B15" i="4"/>
  <c r="G21" i="5"/>
  <c r="C17" i="5"/>
  <c r="C63" i="6"/>
  <c r="AD49" i="6"/>
  <c r="AL60" i="6"/>
  <c r="AB59" i="3"/>
  <c r="L62" i="2"/>
  <c r="J31" i="3"/>
  <c r="W30" i="3"/>
  <c r="AI30" i="3" s="1"/>
  <c r="I6" i="3"/>
  <c r="V5" i="3"/>
  <c r="AH5" i="3" s="1"/>
  <c r="L36" i="5"/>
  <c r="AD5" i="6"/>
  <c r="AL29" i="3"/>
  <c r="F7" i="2"/>
  <c r="E16" i="2"/>
  <c r="L32" i="3"/>
  <c r="Y31" i="3"/>
  <c r="G9" i="3"/>
  <c r="E64" i="6"/>
  <c r="E54" i="6"/>
  <c r="Y30" i="6"/>
  <c r="AK30" i="6" s="1"/>
  <c r="L31" i="6"/>
  <c r="AG31" i="6"/>
  <c r="AF50" i="3"/>
  <c r="F32" i="6"/>
  <c r="F51" i="5"/>
  <c r="L52" i="6"/>
  <c r="AG50" i="3"/>
  <c r="C62" i="3"/>
  <c r="AE60" i="6"/>
  <c r="F61" i="5"/>
  <c r="K64" i="3"/>
  <c r="I52" i="2"/>
  <c r="P17" i="3"/>
  <c r="AB17" i="3" s="1"/>
  <c r="C18" i="2"/>
  <c r="G20" i="3"/>
  <c r="J8" i="2"/>
  <c r="F53" i="3"/>
  <c r="S52" i="3"/>
  <c r="I63" i="6"/>
  <c r="T8" i="6"/>
  <c r="G9" i="6"/>
  <c r="U50" i="6"/>
  <c r="AG50" i="6" s="1"/>
  <c r="H51" i="6"/>
  <c r="L63" i="5"/>
  <c r="Q51" i="3"/>
  <c r="D52" i="3"/>
  <c r="C52" i="5"/>
  <c r="D18" i="1"/>
  <c r="D7" i="1"/>
  <c r="D14" i="1"/>
  <c r="D5" i="1"/>
  <c r="D19" i="1" s="1"/>
  <c r="D13" i="1"/>
  <c r="D8" i="1"/>
  <c r="D15" i="1"/>
  <c r="D17" i="1"/>
  <c r="D11" i="1"/>
  <c r="D10" i="1"/>
  <c r="D16" i="1"/>
  <c r="C6" i="5"/>
  <c r="E51" i="3"/>
  <c r="R50" i="3"/>
  <c r="AD50" i="3" s="1"/>
  <c r="B53" i="3"/>
  <c r="AK30" i="3"/>
  <c r="L31" i="2"/>
  <c r="G7" i="2"/>
  <c r="T6" i="3"/>
  <c r="I16" i="5"/>
  <c r="AG14" i="6"/>
  <c r="J62" i="5"/>
  <c r="G51" i="6"/>
  <c r="T50" i="6"/>
  <c r="Z50" i="3"/>
  <c r="M51" i="3"/>
  <c r="J7" i="6"/>
  <c r="AB60" i="3"/>
  <c r="C61" i="2"/>
  <c r="P61" i="3" s="1"/>
  <c r="W5" i="3"/>
  <c r="J6" i="3"/>
  <c r="Z60" i="3"/>
  <c r="AM60" i="3" s="1"/>
  <c r="M61" i="2"/>
  <c r="E7" i="5"/>
  <c r="R6" i="6"/>
  <c r="AD15" i="6"/>
  <c r="H53" i="5"/>
  <c r="G9" i="5"/>
  <c r="F63" i="3"/>
  <c r="S62" i="3"/>
  <c r="B31" i="3"/>
  <c r="O30" i="3"/>
  <c r="AB30" i="3" s="1"/>
  <c r="Y30" i="3"/>
  <c r="K62" i="6"/>
  <c r="E63" i="3"/>
  <c r="K34" i="5"/>
  <c r="AE59" i="6"/>
  <c r="F31" i="2"/>
  <c r="U63" i="3"/>
  <c r="H64" i="3"/>
  <c r="I61" i="2"/>
  <c r="AH60" i="3"/>
  <c r="G18" i="2"/>
  <c r="T17" i="3"/>
  <c r="M31" i="6"/>
  <c r="Z30" i="6"/>
  <c r="AL30" i="6" s="1"/>
  <c r="J6" i="5"/>
  <c r="AI5" i="6"/>
  <c r="AH30" i="6"/>
  <c r="J64" i="3"/>
  <c r="AG6" i="6"/>
  <c r="H7" i="5"/>
  <c r="AM49" i="3"/>
  <c r="G33" i="6"/>
  <c r="AK4" i="6"/>
  <c r="Y6" i="6"/>
  <c r="L7" i="6"/>
  <c r="C53" i="3"/>
  <c r="Y60" i="3"/>
  <c r="AK60" i="3" s="1"/>
  <c r="L61" i="3"/>
  <c r="B19" i="3"/>
  <c r="O18" i="3"/>
  <c r="G53" i="2"/>
  <c r="L55" i="3"/>
  <c r="P31" i="3"/>
  <c r="C32" i="3"/>
  <c r="AL15" i="6"/>
  <c r="V7" i="6"/>
  <c r="I8" i="6"/>
  <c r="AE14" i="6"/>
  <c r="D53" i="5"/>
  <c r="Q52" i="6"/>
  <c r="V60" i="3"/>
  <c r="S60" i="6"/>
  <c r="AF60" i="6" s="1"/>
  <c r="Q60" i="6"/>
  <c r="AC60" i="6" s="1"/>
  <c r="D61" i="6"/>
  <c r="F19" i="6"/>
  <c r="K52" i="6"/>
  <c r="I34" i="5"/>
  <c r="F31" i="3"/>
  <c r="S30" i="3"/>
  <c r="AE30" i="3" s="1"/>
  <c r="V52" i="3"/>
  <c r="I53" i="3"/>
  <c r="U61" i="6"/>
  <c r="AG61" i="6" s="1"/>
  <c r="H62" i="5"/>
  <c r="F63" i="2"/>
  <c r="AF59" i="3"/>
  <c r="E8" i="3"/>
  <c r="G31" i="2"/>
  <c r="L6" i="3"/>
  <c r="Y5" i="3"/>
  <c r="AK5" i="3" s="1"/>
  <c r="AK59" i="3"/>
  <c r="D21" i="2"/>
  <c r="AL4" i="3"/>
  <c r="AJ30" i="3"/>
  <c r="K31" i="2"/>
  <c r="G55" i="3"/>
  <c r="K8" i="2"/>
  <c r="I51" i="6"/>
  <c r="V50" i="6"/>
  <c r="AH50" i="6" s="1"/>
  <c r="F31" i="5"/>
  <c r="H64" i="6"/>
  <c r="J61" i="6"/>
  <c r="W60" i="6"/>
  <c r="AI60" i="6" s="1"/>
  <c r="U7" i="6"/>
  <c r="H8" i="6"/>
  <c r="AH60" i="6"/>
  <c r="I61" i="5"/>
  <c r="J19" i="5"/>
  <c r="R60" i="6"/>
  <c r="AD60" i="6" s="1"/>
  <c r="E61" i="5"/>
  <c r="Z51" i="6"/>
  <c r="M52" i="6"/>
  <c r="S61" i="6"/>
  <c r="F62" i="6"/>
  <c r="M64" i="3"/>
  <c r="S7" i="6"/>
  <c r="F8" i="6"/>
  <c r="AH32" i="6"/>
  <c r="T52" i="3"/>
  <c r="AF52" i="3" s="1"/>
  <c r="AF60" i="3"/>
  <c r="G61" i="2"/>
  <c r="T60" i="3"/>
  <c r="AG60" i="3" s="1"/>
  <c r="K34" i="3"/>
  <c r="U15" i="3"/>
  <c r="AG15" i="3" s="1"/>
  <c r="H16" i="3"/>
  <c r="X33" i="6"/>
  <c r="O31" i="6"/>
  <c r="AB31" i="6" s="1"/>
  <c r="B32" i="6"/>
  <c r="O50" i="3"/>
  <c r="AB50" i="3" s="1"/>
  <c r="B51" i="2"/>
  <c r="AJ5" i="3"/>
  <c r="M33" i="3"/>
  <c r="J61" i="2"/>
  <c r="I8" i="2"/>
  <c r="C6" i="2"/>
  <c r="L12" i="2"/>
  <c r="AJ4" i="3"/>
  <c r="AC51" i="3"/>
  <c r="D52" i="2"/>
  <c r="AJ50" i="6"/>
  <c r="K51" i="5"/>
  <c r="AF30" i="6"/>
  <c r="M16" i="3"/>
  <c r="Z15" i="3"/>
  <c r="I34" i="6"/>
  <c r="V33" i="6"/>
  <c r="W50" i="6"/>
  <c r="AI50" i="6" s="1"/>
  <c r="J51" i="6"/>
  <c r="I51" i="5"/>
  <c r="O6" i="6"/>
  <c r="O60" i="6"/>
  <c r="B61" i="6"/>
  <c r="AK50" i="6"/>
  <c r="L51" i="5"/>
  <c r="K19" i="6"/>
  <c r="I16" i="6"/>
  <c r="V15" i="6"/>
  <c r="AH15" i="6" s="1"/>
  <c r="J52" i="5"/>
  <c r="E31" i="6"/>
  <c r="R30" i="6"/>
  <c r="AE30" i="6" s="1"/>
  <c r="R60" i="3"/>
  <c r="AE60" i="3" s="1"/>
  <c r="E31" i="3"/>
  <c r="R30" i="3"/>
  <c r="AD30" i="3" s="1"/>
  <c r="I31" i="2"/>
  <c r="V30" i="3"/>
  <c r="AH30" i="3" s="1"/>
  <c r="J52" i="2"/>
  <c r="AB29" i="3"/>
  <c r="AI31" i="6"/>
  <c r="J32" i="5"/>
  <c r="X7" i="3"/>
  <c r="K8" i="3"/>
  <c r="M6" i="6"/>
  <c r="Z5" i="6"/>
  <c r="AL5" i="6" s="1"/>
  <c r="K17" i="2"/>
  <c r="F52" i="2"/>
  <c r="H33" i="2"/>
  <c r="H7" i="2"/>
  <c r="AG6" i="3"/>
  <c r="AF61" i="6"/>
  <c r="G62" i="5"/>
  <c r="F18" i="5"/>
  <c r="AE17" i="6"/>
  <c r="H64" i="2"/>
  <c r="D6" i="1"/>
  <c r="G33" i="3"/>
  <c r="Z61" i="6"/>
  <c r="M62" i="6"/>
  <c r="B8" i="6"/>
  <c r="O7" i="6"/>
  <c r="D31" i="5"/>
  <c r="J51" i="3"/>
  <c r="W50" i="3"/>
  <c r="L18" i="6"/>
  <c r="F16" i="3"/>
  <c r="S15" i="3"/>
  <c r="X53" i="3"/>
  <c r="K54" i="3"/>
  <c r="B7" i="3"/>
  <c r="O6" i="3"/>
  <c r="E52" i="2"/>
  <c r="H54" i="2"/>
  <c r="M9" i="2"/>
  <c r="C52" i="2"/>
  <c r="P52" i="3" s="1"/>
  <c r="D17" i="3"/>
  <c r="Q16" i="3"/>
  <c r="AC16" i="3" s="1"/>
  <c r="K61" i="2"/>
  <c r="AB49" i="6"/>
  <c r="E18" i="6"/>
  <c r="R17" i="6"/>
  <c r="AD17" i="6" s="1"/>
  <c r="AD50" i="6"/>
  <c r="E51" i="5"/>
  <c r="R50" i="6"/>
  <c r="D34" i="3"/>
  <c r="AF59" i="6"/>
  <c r="G32" i="5"/>
  <c r="F18" i="2"/>
  <c r="H17" i="6"/>
  <c r="H52" i="3"/>
  <c r="U51" i="3"/>
  <c r="AG51" i="3" s="1"/>
  <c r="K16" i="3"/>
  <c r="X15" i="3"/>
  <c r="AJ15" i="3" s="1"/>
  <c r="E33" i="2"/>
  <c r="L16" i="2"/>
  <c r="I66" i="3"/>
  <c r="M33" i="5"/>
  <c r="AE6" i="6"/>
  <c r="F7" i="5"/>
  <c r="B52" i="6"/>
  <c r="O51" i="6"/>
  <c r="B61" i="3"/>
  <c r="O60" i="3"/>
  <c r="AH29" i="3"/>
  <c r="I16" i="3"/>
  <c r="V15" i="3"/>
  <c r="AH15" i="3" s="1"/>
  <c r="D61" i="2"/>
  <c r="T61" i="6"/>
  <c r="D11" i="4"/>
  <c r="D9" i="4"/>
  <c r="D7" i="4"/>
  <c r="D14" i="4"/>
  <c r="D10" i="4"/>
  <c r="D12" i="4"/>
  <c r="D8" i="4"/>
  <c r="D15" i="4"/>
  <c r="D17" i="4"/>
  <c r="AF6" i="6"/>
  <c r="W60" i="3"/>
  <c r="AJ60" i="3" s="1"/>
  <c r="C61" i="5"/>
  <c r="AB60" i="6"/>
  <c r="D55" i="6"/>
  <c r="D18" i="6"/>
  <c r="Q17" i="6"/>
  <c r="AI14" i="6"/>
  <c r="Y16" i="3"/>
  <c r="L17" i="3"/>
  <c r="C34" i="6"/>
  <c r="P33" i="6"/>
  <c r="E16" i="3"/>
  <c r="R15" i="3"/>
  <c r="AD15" i="3" s="1"/>
  <c r="K7" i="5"/>
  <c r="AE4" i="3"/>
  <c r="F6" i="3"/>
  <c r="S5" i="3"/>
  <c r="H16" i="2"/>
  <c r="I33" i="3"/>
  <c r="U6" i="3"/>
  <c r="K55" i="2"/>
  <c r="Z17" i="6"/>
  <c r="M18" i="6"/>
  <c r="AG15" i="6"/>
  <c r="H16" i="5"/>
  <c r="M17" i="2"/>
  <c r="J31" i="2"/>
  <c r="M31" i="2"/>
  <c r="G52" i="5"/>
  <c r="E20" i="5"/>
  <c r="Z30" i="3"/>
  <c r="AM30" i="3" s="1"/>
  <c r="C23" i="3"/>
  <c r="B17" i="6"/>
  <c r="O16" i="6"/>
  <c r="D6" i="5"/>
  <c r="AC5" i="6"/>
  <c r="E61" i="2"/>
  <c r="X60" i="3"/>
  <c r="M9" i="5"/>
  <c r="P5" i="3"/>
  <c r="AB5" i="3" s="1"/>
  <c r="C6" i="3"/>
  <c r="X15" i="6"/>
  <c r="AK15" i="6" s="1"/>
  <c r="K16" i="5"/>
  <c r="AJ15" i="6"/>
  <c r="AF29" i="6"/>
  <c r="H35" i="6"/>
  <c r="S6" i="6"/>
  <c r="AD30" i="6"/>
  <c r="E31" i="5"/>
  <c r="C31" i="2"/>
  <c r="AD49" i="3"/>
  <c r="X34" i="6"/>
  <c r="K35" i="6"/>
  <c r="G63" i="6"/>
  <c r="D62" i="5"/>
  <c r="D5" i="4"/>
  <c r="D19" i="4" s="1"/>
  <c r="T17" i="6"/>
  <c r="AF17" i="6" s="1"/>
  <c r="G18" i="6"/>
  <c r="C52" i="6"/>
  <c r="P51" i="6"/>
  <c r="AB51" i="6" s="1"/>
  <c r="J16" i="6"/>
  <c r="W15" i="6"/>
  <c r="P15" i="6"/>
  <c r="AB15" i="6" s="1"/>
  <c r="C16" i="6"/>
  <c r="M53" i="5"/>
  <c r="P5" i="6"/>
  <c r="AB5" i="6" s="1"/>
  <c r="C6" i="6"/>
  <c r="D19" i="5"/>
  <c r="H32" i="3"/>
  <c r="U31" i="3"/>
  <c r="AC31" i="3"/>
  <c r="D32" i="2"/>
  <c r="D6" i="4"/>
  <c r="M52" i="2"/>
  <c r="J17" i="2"/>
  <c r="D10" i="3"/>
  <c r="L53" i="2"/>
  <c r="AK52" i="3"/>
  <c r="E7" i="2"/>
  <c r="AD6" i="3"/>
  <c r="L16" i="5"/>
  <c r="G65" i="3"/>
  <c r="D7" i="2"/>
  <c r="W31" i="6"/>
  <c r="AJ31" i="6" s="1"/>
  <c r="J32" i="6"/>
  <c r="L8" i="5"/>
  <c r="M62" i="5"/>
  <c r="L62" i="6"/>
  <c r="Y61" i="6"/>
  <c r="M18" i="5"/>
  <c r="Q30" i="6"/>
  <c r="AC30" i="6" s="1"/>
  <c r="D31" i="6"/>
  <c r="AF16" i="6"/>
  <c r="E11" i="6"/>
  <c r="C33" i="5"/>
  <c r="AL14" i="6"/>
  <c r="AK14" i="6"/>
  <c r="X5" i="6"/>
  <c r="K6" i="6"/>
  <c r="D9" i="1"/>
  <c r="D61" i="3"/>
  <c r="Q60" i="3"/>
  <c r="AD60" i="3" s="1"/>
  <c r="I17" i="2"/>
  <c r="Z6" i="3"/>
  <c r="M7" i="3"/>
  <c r="AJ60" i="6"/>
  <c r="K61" i="5"/>
  <c r="AH6" i="6"/>
  <c r="I7" i="5"/>
  <c r="H9" i="3"/>
  <c r="B64" i="7" l="1"/>
  <c r="O63" i="7"/>
  <c r="E10" i="7"/>
  <c r="R9" i="7"/>
  <c r="AD9" i="7" s="1"/>
  <c r="X53" i="7"/>
  <c r="K54" i="7"/>
  <c r="Y52" i="7"/>
  <c r="AK52" i="7" s="1"/>
  <c r="L53" i="7"/>
  <c r="J33" i="7"/>
  <c r="W32" i="7"/>
  <c r="AI32" i="7" s="1"/>
  <c r="W62" i="7"/>
  <c r="AI62" i="7" s="1"/>
  <c r="J63" i="7"/>
  <c r="AF33" i="7"/>
  <c r="Y11" i="7"/>
  <c r="L12" i="7"/>
  <c r="Y12" i="7" s="1"/>
  <c r="E20" i="7"/>
  <c r="R19" i="7"/>
  <c r="Z8" i="7"/>
  <c r="AL8" i="7" s="1"/>
  <c r="M9" i="7"/>
  <c r="F53" i="7"/>
  <c r="S52" i="7"/>
  <c r="AE52" i="7" s="1"/>
  <c r="AG31" i="7"/>
  <c r="AH31" i="7"/>
  <c r="M64" i="7"/>
  <c r="Z63" i="7"/>
  <c r="AL63" i="7" s="1"/>
  <c r="AK17" i="7"/>
  <c r="AE18" i="7"/>
  <c r="D18" i="7"/>
  <c r="Q17" i="7"/>
  <c r="H33" i="7"/>
  <c r="U32" i="7"/>
  <c r="O33" i="7"/>
  <c r="B34" i="7"/>
  <c r="AG51" i="7"/>
  <c r="H19" i="7"/>
  <c r="U18" i="7"/>
  <c r="AG18" i="7" s="1"/>
  <c r="AC16" i="7"/>
  <c r="AD16" i="7"/>
  <c r="F67" i="7"/>
  <c r="S66" i="7"/>
  <c r="B54" i="7"/>
  <c r="O53" i="7"/>
  <c r="L35" i="7"/>
  <c r="Y34" i="7"/>
  <c r="M20" i="7"/>
  <c r="Z19" i="7"/>
  <c r="Y66" i="7"/>
  <c r="L67" i="7"/>
  <c r="U52" i="7"/>
  <c r="H53" i="7"/>
  <c r="AG17" i="7"/>
  <c r="G19" i="7"/>
  <c r="T18" i="7"/>
  <c r="AF18" i="7" s="1"/>
  <c r="I39" i="7"/>
  <c r="V38" i="7"/>
  <c r="K64" i="7"/>
  <c r="X63" i="7"/>
  <c r="C34" i="7"/>
  <c r="P33" i="7"/>
  <c r="AB33" i="7" s="1"/>
  <c r="P63" i="7"/>
  <c r="C64" i="7"/>
  <c r="J9" i="7"/>
  <c r="W8" i="7"/>
  <c r="AI8" i="7" s="1"/>
  <c r="E63" i="7"/>
  <c r="R62" i="7"/>
  <c r="U63" i="7"/>
  <c r="AG63" i="7" s="1"/>
  <c r="H64" i="7"/>
  <c r="AD32" i="7"/>
  <c r="AJ62" i="7"/>
  <c r="AK62" i="7"/>
  <c r="AB32" i="7"/>
  <c r="AC62" i="7"/>
  <c r="X18" i="7"/>
  <c r="K19" i="7"/>
  <c r="AD61" i="7"/>
  <c r="AE61" i="7"/>
  <c r="V53" i="7"/>
  <c r="I54" i="7"/>
  <c r="Q63" i="7"/>
  <c r="AC63" i="7" s="1"/>
  <c r="D64" i="7"/>
  <c r="I19" i="7"/>
  <c r="V18" i="7"/>
  <c r="D54" i="7"/>
  <c r="Q53" i="7"/>
  <c r="AC53" i="7" s="1"/>
  <c r="M54" i="7"/>
  <c r="Z53" i="7"/>
  <c r="E34" i="7"/>
  <c r="R33" i="7"/>
  <c r="AJ31" i="7"/>
  <c r="AK31" i="7"/>
  <c r="O17" i="7"/>
  <c r="AB17" i="7" s="1"/>
  <c r="B18" i="7"/>
  <c r="AE8" i="7"/>
  <c r="C54" i="7"/>
  <c r="P53" i="7"/>
  <c r="AK18" i="7"/>
  <c r="AH52" i="7"/>
  <c r="X8" i="7"/>
  <c r="K9" i="7"/>
  <c r="V63" i="7"/>
  <c r="AH63" i="7" s="1"/>
  <c r="I64" i="7"/>
  <c r="V9" i="7"/>
  <c r="I10" i="7"/>
  <c r="F24" i="7"/>
  <c r="S23" i="7"/>
  <c r="D11" i="7"/>
  <c r="Q10" i="7"/>
  <c r="AC10" i="7" s="1"/>
  <c r="X32" i="7"/>
  <c r="K33" i="7"/>
  <c r="H9" i="7"/>
  <c r="U8" i="7"/>
  <c r="F10" i="7"/>
  <c r="S9" i="7"/>
  <c r="AE9" i="7" s="1"/>
  <c r="Y19" i="7"/>
  <c r="L20" i="7"/>
  <c r="AJ7" i="7"/>
  <c r="AK7" i="7"/>
  <c r="AH62" i="7"/>
  <c r="AH8" i="7"/>
  <c r="D34" i="7"/>
  <c r="Q33" i="7"/>
  <c r="G35" i="7"/>
  <c r="T34" i="7"/>
  <c r="AI17" i="7"/>
  <c r="AD52" i="7"/>
  <c r="C20" i="7"/>
  <c r="P19" i="7"/>
  <c r="G65" i="7"/>
  <c r="T64" i="7"/>
  <c r="AF64" i="7" s="1"/>
  <c r="AE32" i="7"/>
  <c r="G53" i="7"/>
  <c r="T52" i="7"/>
  <c r="AF52" i="7" s="1"/>
  <c r="W52" i="7"/>
  <c r="AI52" i="7" s="1"/>
  <c r="J53" i="7"/>
  <c r="M34" i="7"/>
  <c r="Z33" i="7"/>
  <c r="AL33" i="7" s="1"/>
  <c r="W18" i="7"/>
  <c r="J19" i="7"/>
  <c r="E54" i="7"/>
  <c r="R53" i="7"/>
  <c r="G9" i="7"/>
  <c r="T8" i="7"/>
  <c r="AF8" i="7" s="1"/>
  <c r="S33" i="7"/>
  <c r="F34" i="7"/>
  <c r="AH33" i="6"/>
  <c r="AF6" i="3"/>
  <c r="K62" i="5"/>
  <c r="W16" i="6"/>
  <c r="J17" i="6"/>
  <c r="E32" i="5"/>
  <c r="K17" i="3"/>
  <c r="X16" i="3"/>
  <c r="AJ16" i="3" s="1"/>
  <c r="R18" i="6"/>
  <c r="E19" i="6"/>
  <c r="B8" i="3"/>
  <c r="O7" i="3"/>
  <c r="G34" i="3"/>
  <c r="R31" i="6"/>
  <c r="AD31" i="6" s="1"/>
  <c r="E32" i="6"/>
  <c r="J62" i="2"/>
  <c r="W61" i="3"/>
  <c r="AI61" i="3" s="1"/>
  <c r="AC51" i="6"/>
  <c r="G56" i="3"/>
  <c r="H63" i="5"/>
  <c r="U62" i="6"/>
  <c r="Y61" i="3"/>
  <c r="AK61" i="3" s="1"/>
  <c r="L62" i="3"/>
  <c r="J7" i="5"/>
  <c r="AI6" i="6"/>
  <c r="M62" i="2"/>
  <c r="Z61" i="3"/>
  <c r="AL61" i="3" s="1"/>
  <c r="D7" i="6"/>
  <c r="Q6" i="6"/>
  <c r="AD6" i="6" s="1"/>
  <c r="M18" i="2"/>
  <c r="K55" i="3"/>
  <c r="X54" i="3"/>
  <c r="V34" i="6"/>
  <c r="I35" i="6"/>
  <c r="X31" i="3"/>
  <c r="AJ31" i="3" s="1"/>
  <c r="K32" i="2"/>
  <c r="X61" i="6"/>
  <c r="AJ61" i="6" s="1"/>
  <c r="I17" i="5"/>
  <c r="AH16" i="6"/>
  <c r="T9" i="6"/>
  <c r="G10" i="6"/>
  <c r="K65" i="3"/>
  <c r="E55" i="6"/>
  <c r="M8" i="3"/>
  <c r="Z7" i="3"/>
  <c r="Q31" i="6"/>
  <c r="D32" i="6"/>
  <c r="G66" i="3"/>
  <c r="D33" i="2"/>
  <c r="Q32" i="3"/>
  <c r="P52" i="6"/>
  <c r="AC52" i="6" s="1"/>
  <c r="C53" i="6"/>
  <c r="B62" i="3"/>
  <c r="O61" i="3"/>
  <c r="U52" i="3"/>
  <c r="AG52" i="3" s="1"/>
  <c r="H53" i="3"/>
  <c r="AJ61" i="3"/>
  <c r="K62" i="2"/>
  <c r="X61" i="3"/>
  <c r="H65" i="2"/>
  <c r="X8" i="3"/>
  <c r="K9" i="3"/>
  <c r="J53" i="5"/>
  <c r="AL15" i="3"/>
  <c r="AM15" i="3"/>
  <c r="D54" i="5"/>
  <c r="Q53" i="6"/>
  <c r="M32" i="6"/>
  <c r="Z31" i="6"/>
  <c r="X62" i="6"/>
  <c r="K63" i="6"/>
  <c r="AL60" i="3"/>
  <c r="F62" i="5"/>
  <c r="V6" i="3"/>
  <c r="AH6" i="3" s="1"/>
  <c r="I7" i="3"/>
  <c r="S51" i="6"/>
  <c r="AE51" i="6" s="1"/>
  <c r="F52" i="6"/>
  <c r="AI60" i="3"/>
  <c r="AM6" i="3"/>
  <c r="H36" i="6"/>
  <c r="O17" i="6"/>
  <c r="B18" i="6"/>
  <c r="H17" i="5"/>
  <c r="AG16" i="6"/>
  <c r="U16" i="6"/>
  <c r="AF15" i="3"/>
  <c r="AE15" i="3"/>
  <c r="M17" i="3"/>
  <c r="Z16" i="3"/>
  <c r="M34" i="3"/>
  <c r="S8" i="6"/>
  <c r="F9" i="6"/>
  <c r="H9" i="6"/>
  <c r="I54" i="3"/>
  <c r="P53" i="3"/>
  <c r="C54" i="3"/>
  <c r="I64" i="6"/>
  <c r="K8" i="5"/>
  <c r="I18" i="2"/>
  <c r="M19" i="5"/>
  <c r="AK16" i="6"/>
  <c r="L17" i="5"/>
  <c r="Y16" i="6"/>
  <c r="AL16" i="6" s="1"/>
  <c r="AG31" i="3"/>
  <c r="T18" i="6"/>
  <c r="G19" i="6"/>
  <c r="C24" i="3"/>
  <c r="E17" i="3"/>
  <c r="R16" i="3"/>
  <c r="O52" i="6"/>
  <c r="B53" i="6"/>
  <c r="U17" i="6"/>
  <c r="H18" i="6"/>
  <c r="F17" i="3"/>
  <c r="S16" i="3"/>
  <c r="AI32" i="6"/>
  <c r="J33" i="5"/>
  <c r="AJ32" i="6"/>
  <c r="I17" i="6"/>
  <c r="V16" i="6"/>
  <c r="D22" i="2"/>
  <c r="L8" i="6"/>
  <c r="Y7" i="6"/>
  <c r="G19" i="2"/>
  <c r="T18" i="3"/>
  <c r="J7" i="3"/>
  <c r="W6" i="3"/>
  <c r="E65" i="6"/>
  <c r="W31" i="3"/>
  <c r="J32" i="3"/>
  <c r="W18" i="3"/>
  <c r="J19" i="3"/>
  <c r="D7" i="5"/>
  <c r="M7" i="6"/>
  <c r="Z6" i="6"/>
  <c r="AL6" i="6" s="1"/>
  <c r="I62" i="5"/>
  <c r="V61" i="6"/>
  <c r="AH61" i="6" s="1"/>
  <c r="U32" i="3"/>
  <c r="H33" i="3"/>
  <c r="M19" i="6"/>
  <c r="Z18" i="6"/>
  <c r="F8" i="5"/>
  <c r="F19" i="2"/>
  <c r="D18" i="3"/>
  <c r="Q17" i="3"/>
  <c r="AC17" i="3" s="1"/>
  <c r="L19" i="6"/>
  <c r="F19" i="5"/>
  <c r="K20" i="6"/>
  <c r="K52" i="5"/>
  <c r="B52" i="2"/>
  <c r="O51" i="3"/>
  <c r="AB51" i="3" s="1"/>
  <c r="I9" i="6"/>
  <c r="B32" i="3"/>
  <c r="O31" i="3"/>
  <c r="AI5" i="3"/>
  <c r="G8" i="2"/>
  <c r="T7" i="3"/>
  <c r="C63" i="3"/>
  <c r="G10" i="3"/>
  <c r="L63" i="2"/>
  <c r="AK61" i="6"/>
  <c r="AD7" i="3"/>
  <c r="E8" i="2"/>
  <c r="D20" i="5"/>
  <c r="C35" i="6"/>
  <c r="P34" i="6"/>
  <c r="C53" i="2"/>
  <c r="G63" i="5"/>
  <c r="M65" i="3"/>
  <c r="W61" i="6"/>
  <c r="AI61" i="6" s="1"/>
  <c r="J62" i="6"/>
  <c r="S31" i="3"/>
  <c r="AF31" i="3" s="1"/>
  <c r="F32" i="3"/>
  <c r="AB61" i="3"/>
  <c r="C62" i="2"/>
  <c r="L32" i="2"/>
  <c r="AK31" i="3"/>
  <c r="F54" i="3"/>
  <c r="S53" i="3"/>
  <c r="D62" i="3"/>
  <c r="Q61" i="3"/>
  <c r="Y62" i="6"/>
  <c r="L63" i="6"/>
  <c r="E21" i="5"/>
  <c r="J9" i="2"/>
  <c r="L53" i="6"/>
  <c r="Y52" i="6"/>
  <c r="AI50" i="3"/>
  <c r="AJ50" i="3"/>
  <c r="X6" i="6"/>
  <c r="AJ6" i="6" s="1"/>
  <c r="K7" i="6"/>
  <c r="AL62" i="6"/>
  <c r="M63" i="5"/>
  <c r="G64" i="6"/>
  <c r="T63" i="6"/>
  <c r="P6" i="3"/>
  <c r="AC6" i="3" s="1"/>
  <c r="C7" i="3"/>
  <c r="G53" i="5"/>
  <c r="H8" i="2"/>
  <c r="U7" i="3"/>
  <c r="AG7" i="3" s="1"/>
  <c r="B62" i="6"/>
  <c r="O61" i="6"/>
  <c r="Z52" i="6"/>
  <c r="M53" i="6"/>
  <c r="F32" i="5"/>
  <c r="G32" i="2"/>
  <c r="T31" i="3"/>
  <c r="K53" i="6"/>
  <c r="W6" i="6"/>
  <c r="C53" i="5"/>
  <c r="F52" i="5"/>
  <c r="AD16" i="3"/>
  <c r="E17" i="2"/>
  <c r="AJ5" i="6"/>
  <c r="AK5" i="6"/>
  <c r="D11" i="3"/>
  <c r="M54" i="5"/>
  <c r="T62" i="6"/>
  <c r="AG62" i="6" s="1"/>
  <c r="I67" i="3"/>
  <c r="D35" i="3"/>
  <c r="M10" i="2"/>
  <c r="AC31" i="6"/>
  <c r="D32" i="5"/>
  <c r="H34" i="2"/>
  <c r="AH31" i="3"/>
  <c r="I32" i="2"/>
  <c r="V31" i="3"/>
  <c r="H17" i="3"/>
  <c r="U16" i="3"/>
  <c r="AF30" i="3"/>
  <c r="X51" i="6"/>
  <c r="AG7" i="6"/>
  <c r="H8" i="5"/>
  <c r="U8" i="6" s="1"/>
  <c r="AE31" i="3"/>
  <c r="F32" i="2"/>
  <c r="Z51" i="3"/>
  <c r="M52" i="3"/>
  <c r="G21" i="3"/>
  <c r="C64" i="6"/>
  <c r="AF7" i="6"/>
  <c r="D63" i="5"/>
  <c r="X16" i="6"/>
  <c r="AJ16" i="6" s="1"/>
  <c r="K17" i="5"/>
  <c r="K56" i="2"/>
  <c r="Y17" i="3"/>
  <c r="L18" i="3"/>
  <c r="G33" i="5"/>
  <c r="J53" i="2"/>
  <c r="AK51" i="6"/>
  <c r="L52" i="5"/>
  <c r="D53" i="2"/>
  <c r="O32" i="6"/>
  <c r="AB32" i="6" s="1"/>
  <c r="B33" i="6"/>
  <c r="S62" i="6"/>
  <c r="F63" i="6"/>
  <c r="H65" i="6"/>
  <c r="I35" i="5"/>
  <c r="G34" i="6"/>
  <c r="T33" i="6"/>
  <c r="I62" i="2"/>
  <c r="V61" i="3"/>
  <c r="AH61" i="3" s="1"/>
  <c r="S63" i="3"/>
  <c r="F64" i="3"/>
  <c r="AL61" i="6"/>
  <c r="L54" i="2"/>
  <c r="Y53" i="3"/>
  <c r="AK53" i="3" s="1"/>
  <c r="C7" i="6"/>
  <c r="P6" i="6"/>
  <c r="AC6" i="6" s="1"/>
  <c r="L7" i="3"/>
  <c r="Y6" i="3"/>
  <c r="AK6" i="3" s="1"/>
  <c r="C33" i="3"/>
  <c r="T32" i="6"/>
  <c r="AG32" i="6" s="1"/>
  <c r="U64" i="3"/>
  <c r="H65" i="3"/>
  <c r="G10" i="5"/>
  <c r="J8" i="6"/>
  <c r="B54" i="3"/>
  <c r="Y51" i="6"/>
  <c r="AL51" i="6" s="1"/>
  <c r="L33" i="3"/>
  <c r="L9" i="5"/>
  <c r="K36" i="6"/>
  <c r="X35" i="6"/>
  <c r="M10" i="5"/>
  <c r="AL30" i="3"/>
  <c r="I34" i="3"/>
  <c r="Q18" i="6"/>
  <c r="D19" i="6"/>
  <c r="L17" i="2"/>
  <c r="AK16" i="3"/>
  <c r="H55" i="2"/>
  <c r="R61" i="6"/>
  <c r="AD61" i="6" s="1"/>
  <c r="E62" i="5"/>
  <c r="E9" i="3"/>
  <c r="R8" i="3"/>
  <c r="S18" i="6"/>
  <c r="AE18" i="6" s="1"/>
  <c r="L56" i="3"/>
  <c r="H54" i="5"/>
  <c r="AL50" i="3"/>
  <c r="AM50" i="3"/>
  <c r="E52" i="3"/>
  <c r="R51" i="3"/>
  <c r="D53" i="3"/>
  <c r="Q52" i="3"/>
  <c r="AC52" i="3" s="1"/>
  <c r="C19" i="2"/>
  <c r="P18" i="3"/>
  <c r="AB18" i="3" s="1"/>
  <c r="F33" i="6"/>
  <c r="F8" i="2"/>
  <c r="AI15" i="3"/>
  <c r="M34" i="5"/>
  <c r="J52" i="3"/>
  <c r="W51" i="3"/>
  <c r="J18" i="2"/>
  <c r="AG16" i="3"/>
  <c r="H17" i="2"/>
  <c r="AC61" i="3"/>
  <c r="D62" i="2"/>
  <c r="AK15" i="3"/>
  <c r="B9" i="6"/>
  <c r="O8" i="6"/>
  <c r="F53" i="2"/>
  <c r="AH51" i="6"/>
  <c r="I52" i="5"/>
  <c r="I52" i="6"/>
  <c r="V51" i="6"/>
  <c r="R7" i="3"/>
  <c r="F20" i="6"/>
  <c r="S19" i="6"/>
  <c r="J65" i="3"/>
  <c r="AF50" i="6"/>
  <c r="C7" i="5"/>
  <c r="AB6" i="6"/>
  <c r="S31" i="6"/>
  <c r="AF31" i="6" s="1"/>
  <c r="C18" i="5"/>
  <c r="H10" i="3"/>
  <c r="C34" i="5"/>
  <c r="J33" i="6"/>
  <c r="W32" i="6"/>
  <c r="AL5" i="3"/>
  <c r="C17" i="6"/>
  <c r="P16" i="6"/>
  <c r="M32" i="2"/>
  <c r="Z31" i="3"/>
  <c r="AL31" i="3" s="1"/>
  <c r="D56" i="6"/>
  <c r="AC60" i="3"/>
  <c r="E34" i="2"/>
  <c r="AD51" i="6"/>
  <c r="E52" i="5"/>
  <c r="R51" i="6"/>
  <c r="M63" i="6"/>
  <c r="Z62" i="6"/>
  <c r="E32" i="3"/>
  <c r="R31" i="3"/>
  <c r="AD31" i="3" s="1"/>
  <c r="AB6" i="3"/>
  <c r="C7" i="2"/>
  <c r="K35" i="3"/>
  <c r="Q61" i="6"/>
  <c r="AC61" i="6" s="1"/>
  <c r="D62" i="6"/>
  <c r="G54" i="2"/>
  <c r="T53" i="3"/>
  <c r="AF53" i="3" s="1"/>
  <c r="K35" i="5"/>
  <c r="G52" i="6"/>
  <c r="T51" i="6"/>
  <c r="H34" i="5"/>
  <c r="U33" i="6"/>
  <c r="AG33" i="6" s="1"/>
  <c r="AE50" i="3"/>
  <c r="AH7" i="6"/>
  <c r="I8" i="5"/>
  <c r="V8" i="6" s="1"/>
  <c r="M53" i="2"/>
  <c r="AB31" i="3"/>
  <c r="C32" i="2"/>
  <c r="AF5" i="3"/>
  <c r="AE5" i="3"/>
  <c r="E53" i="2"/>
  <c r="J52" i="6"/>
  <c r="W51" i="6"/>
  <c r="AI51" i="6" s="1"/>
  <c r="I9" i="2"/>
  <c r="J20" i="5"/>
  <c r="K9" i="2"/>
  <c r="E8" i="5"/>
  <c r="R7" i="6"/>
  <c r="AE7" i="6" s="1"/>
  <c r="J63" i="5"/>
  <c r="L64" i="5"/>
  <c r="AH51" i="3"/>
  <c r="G22" i="5"/>
  <c r="E12" i="6"/>
  <c r="D8" i="2"/>
  <c r="Q7" i="3"/>
  <c r="AI15" i="6"/>
  <c r="AD61" i="3"/>
  <c r="E62" i="2"/>
  <c r="R61" i="3"/>
  <c r="AE61" i="3" s="1"/>
  <c r="AI31" i="3"/>
  <c r="J32" i="2"/>
  <c r="F7" i="3"/>
  <c r="S6" i="3"/>
  <c r="AE6" i="3" s="1"/>
  <c r="C62" i="5"/>
  <c r="P61" i="6"/>
  <c r="AB61" i="6" s="1"/>
  <c r="I17" i="3"/>
  <c r="V16" i="3"/>
  <c r="K18" i="2"/>
  <c r="AF61" i="3"/>
  <c r="G62" i="2"/>
  <c r="T61" i="3"/>
  <c r="AG61" i="3" s="1"/>
  <c r="F64" i="2"/>
  <c r="B20" i="3"/>
  <c r="O19" i="3"/>
  <c r="E64" i="3"/>
  <c r="H52" i="6"/>
  <c r="U51" i="6"/>
  <c r="AG51" i="6" s="1"/>
  <c r="AH52" i="3"/>
  <c r="I53" i="2"/>
  <c r="V53" i="3" s="1"/>
  <c r="L32" i="6"/>
  <c r="Y31" i="6"/>
  <c r="AK31" i="6" s="1"/>
  <c r="L37" i="5"/>
  <c r="AD33" i="7" l="1"/>
  <c r="W53" i="7"/>
  <c r="AI53" i="7" s="1"/>
  <c r="J54" i="7"/>
  <c r="F25" i="7"/>
  <c r="S24" i="7"/>
  <c r="AC17" i="7"/>
  <c r="AD17" i="7"/>
  <c r="R34" i="7"/>
  <c r="E35" i="7"/>
  <c r="T53" i="7"/>
  <c r="G54" i="7"/>
  <c r="J64" i="7"/>
  <c r="W63" i="7"/>
  <c r="AI63" i="7" s="1"/>
  <c r="L21" i="7"/>
  <c r="Y20" i="7"/>
  <c r="F68" i="7"/>
  <c r="S67" i="7"/>
  <c r="F35" i="7"/>
  <c r="S34" i="7"/>
  <c r="AK19" i="7"/>
  <c r="AJ8" i="7"/>
  <c r="AK8" i="7"/>
  <c r="AH18" i="7"/>
  <c r="V39" i="7"/>
  <c r="I40" i="7"/>
  <c r="M65" i="7"/>
  <c r="Z64" i="7"/>
  <c r="AL64" i="7" s="1"/>
  <c r="AE33" i="7"/>
  <c r="G66" i="7"/>
  <c r="T65" i="7"/>
  <c r="AF65" i="7" s="1"/>
  <c r="V19" i="7"/>
  <c r="I20" i="7"/>
  <c r="W33" i="7"/>
  <c r="AI33" i="7" s="1"/>
  <c r="J34" i="7"/>
  <c r="P34" i="7"/>
  <c r="C35" i="7"/>
  <c r="G10" i="7"/>
  <c r="T9" i="7"/>
  <c r="AF9" i="7" s="1"/>
  <c r="AB53" i="7"/>
  <c r="U19" i="7"/>
  <c r="H20" i="7"/>
  <c r="AL53" i="7"/>
  <c r="H65" i="7"/>
  <c r="U64" i="7"/>
  <c r="AG64" i="7" s="1"/>
  <c r="AD53" i="7"/>
  <c r="H10" i="7"/>
  <c r="U9" i="7"/>
  <c r="P54" i="7"/>
  <c r="C55" i="7"/>
  <c r="I55" i="7"/>
  <c r="V54" i="7"/>
  <c r="AD62" i="7"/>
  <c r="AE62" i="7"/>
  <c r="H54" i="7"/>
  <c r="U53" i="7"/>
  <c r="AG53" i="7" s="1"/>
  <c r="S53" i="7"/>
  <c r="AE53" i="7" s="1"/>
  <c r="F54" i="7"/>
  <c r="K55" i="7"/>
  <c r="X54" i="7"/>
  <c r="Y35" i="7"/>
  <c r="L36" i="7"/>
  <c r="V64" i="7"/>
  <c r="I65" i="7"/>
  <c r="K65" i="7"/>
  <c r="X64" i="7"/>
  <c r="R54" i="7"/>
  <c r="E55" i="7"/>
  <c r="K34" i="7"/>
  <c r="X33" i="7"/>
  <c r="AH53" i="7"/>
  <c r="R63" i="7"/>
  <c r="E64" i="7"/>
  <c r="AG52" i="7"/>
  <c r="B35" i="7"/>
  <c r="O34" i="7"/>
  <c r="AL52" i="7"/>
  <c r="AJ53" i="7"/>
  <c r="W19" i="7"/>
  <c r="J20" i="7"/>
  <c r="AF34" i="7"/>
  <c r="AJ32" i="7"/>
  <c r="AK32" i="7"/>
  <c r="B19" i="7"/>
  <c r="O18" i="7"/>
  <c r="AB18" i="7" s="1"/>
  <c r="Y67" i="7"/>
  <c r="L68" i="7"/>
  <c r="Z9" i="7"/>
  <c r="AL9" i="7" s="1"/>
  <c r="M10" i="7"/>
  <c r="AK63" i="7"/>
  <c r="X9" i="7"/>
  <c r="K10" i="7"/>
  <c r="T19" i="7"/>
  <c r="AF19" i="7" s="1"/>
  <c r="G20" i="7"/>
  <c r="G36" i="7"/>
  <c r="T35" i="7"/>
  <c r="W9" i="7"/>
  <c r="AI9" i="7" s="1"/>
  <c r="J10" i="7"/>
  <c r="AG32" i="7"/>
  <c r="AH32" i="7"/>
  <c r="E11" i="7"/>
  <c r="R10" i="7"/>
  <c r="AD10" i="7" s="1"/>
  <c r="O54" i="7"/>
  <c r="B55" i="7"/>
  <c r="Q64" i="7"/>
  <c r="D65" i="7"/>
  <c r="P20" i="7"/>
  <c r="C21" i="7"/>
  <c r="X19" i="7"/>
  <c r="AJ19" i="7" s="1"/>
  <c r="K20" i="7"/>
  <c r="AL19" i="7"/>
  <c r="H34" i="7"/>
  <c r="U33" i="7"/>
  <c r="AE19" i="7"/>
  <c r="V10" i="7"/>
  <c r="I11" i="7"/>
  <c r="AJ52" i="7"/>
  <c r="D19" i="7"/>
  <c r="Q18" i="7"/>
  <c r="AH9" i="7"/>
  <c r="M55" i="7"/>
  <c r="Z54" i="7"/>
  <c r="Q54" i="7"/>
  <c r="D55" i="7"/>
  <c r="F11" i="7"/>
  <c r="S10" i="7"/>
  <c r="AE10" i="7" s="1"/>
  <c r="L54" i="7"/>
  <c r="Y53" i="7"/>
  <c r="AK53" i="7" s="1"/>
  <c r="AG8" i="7"/>
  <c r="AI18" i="7"/>
  <c r="AC33" i="7"/>
  <c r="D12" i="7"/>
  <c r="Q12" i="7" s="1"/>
  <c r="AC12" i="7" s="1"/>
  <c r="Q11" i="7"/>
  <c r="AC11" i="7" s="1"/>
  <c r="C65" i="7"/>
  <c r="P64" i="7"/>
  <c r="AB64" i="7" s="1"/>
  <c r="Z34" i="7"/>
  <c r="AL34" i="7" s="1"/>
  <c r="M35" i="7"/>
  <c r="D35" i="7"/>
  <c r="Q34" i="7"/>
  <c r="AJ18" i="7"/>
  <c r="AB63" i="7"/>
  <c r="M21" i="7"/>
  <c r="Z20" i="7"/>
  <c r="R20" i="7"/>
  <c r="E21" i="7"/>
  <c r="O64" i="7"/>
  <c r="B65" i="7"/>
  <c r="AH17" i="6"/>
  <c r="I18" i="5"/>
  <c r="F8" i="3"/>
  <c r="S7" i="3"/>
  <c r="I53" i="5"/>
  <c r="M35" i="5"/>
  <c r="I35" i="3"/>
  <c r="G11" i="5"/>
  <c r="L53" i="5"/>
  <c r="M55" i="5"/>
  <c r="G33" i="2"/>
  <c r="T32" i="3"/>
  <c r="AG32" i="3" s="1"/>
  <c r="T64" i="6"/>
  <c r="G65" i="6"/>
  <c r="Q62" i="3"/>
  <c r="D63" i="3"/>
  <c r="D23" i="2"/>
  <c r="G20" i="6"/>
  <c r="T19" i="6"/>
  <c r="AF19" i="6" s="1"/>
  <c r="B19" i="6"/>
  <c r="O18" i="6"/>
  <c r="AL31" i="6"/>
  <c r="E56" i="6"/>
  <c r="G57" i="3"/>
  <c r="E33" i="5"/>
  <c r="AF16" i="3"/>
  <c r="AE16" i="3"/>
  <c r="O20" i="3"/>
  <c r="B21" i="3"/>
  <c r="J33" i="2"/>
  <c r="J64" i="5"/>
  <c r="E35" i="2"/>
  <c r="H11" i="3"/>
  <c r="C65" i="6"/>
  <c r="I33" i="2"/>
  <c r="AH32" i="3"/>
  <c r="V32" i="3"/>
  <c r="M64" i="5"/>
  <c r="D8" i="5"/>
  <c r="AF18" i="6"/>
  <c r="I55" i="3"/>
  <c r="M33" i="6"/>
  <c r="Z32" i="6"/>
  <c r="H54" i="3"/>
  <c r="U53" i="3"/>
  <c r="AG53" i="3" s="1"/>
  <c r="M19" i="2"/>
  <c r="F65" i="2"/>
  <c r="C33" i="2"/>
  <c r="G55" i="2"/>
  <c r="T54" i="3"/>
  <c r="L57" i="3"/>
  <c r="H66" i="3"/>
  <c r="U65" i="3"/>
  <c r="I63" i="2"/>
  <c r="V62" i="3"/>
  <c r="AH62" i="3" s="1"/>
  <c r="D12" i="3"/>
  <c r="AE32" i="6"/>
  <c r="F33" i="5"/>
  <c r="F55" i="3"/>
  <c r="C36" i="6"/>
  <c r="P35" i="6"/>
  <c r="Q18" i="3"/>
  <c r="AC18" i="3" s="1"/>
  <c r="D19" i="3"/>
  <c r="J20" i="3"/>
  <c r="V17" i="6"/>
  <c r="I18" i="6"/>
  <c r="H37" i="6"/>
  <c r="W17" i="6"/>
  <c r="AI17" i="6" s="1"/>
  <c r="J18" i="6"/>
  <c r="H19" i="6"/>
  <c r="F54" i="2"/>
  <c r="F9" i="2"/>
  <c r="M11" i="5"/>
  <c r="H35" i="2"/>
  <c r="AE31" i="6"/>
  <c r="K8" i="6"/>
  <c r="X7" i="6"/>
  <c r="AJ7" i="6" s="1"/>
  <c r="D21" i="5"/>
  <c r="B33" i="3"/>
  <c r="O32" i="3"/>
  <c r="F20" i="2"/>
  <c r="H10" i="6"/>
  <c r="D55" i="5"/>
  <c r="Q54" i="6"/>
  <c r="K66" i="3"/>
  <c r="AI16" i="6"/>
  <c r="AI6" i="3"/>
  <c r="AJ6" i="3"/>
  <c r="E63" i="2"/>
  <c r="R62" i="3"/>
  <c r="AD62" i="3" s="1"/>
  <c r="M54" i="2"/>
  <c r="D63" i="6"/>
  <c r="Q62" i="6"/>
  <c r="AC62" i="6" s="1"/>
  <c r="D57" i="6"/>
  <c r="C19" i="5"/>
  <c r="F34" i="6"/>
  <c r="J54" i="2"/>
  <c r="G22" i="3"/>
  <c r="M54" i="6"/>
  <c r="Z53" i="6"/>
  <c r="AL53" i="6" s="1"/>
  <c r="L33" i="2"/>
  <c r="AK6" i="6"/>
  <c r="J33" i="3"/>
  <c r="W32" i="3"/>
  <c r="AI32" i="3" s="1"/>
  <c r="J34" i="5"/>
  <c r="AL6" i="3"/>
  <c r="B63" i="3"/>
  <c r="O62" i="3"/>
  <c r="T10" i="6"/>
  <c r="G11" i="6"/>
  <c r="D8" i="6"/>
  <c r="Q7" i="6"/>
  <c r="AD7" i="6" s="1"/>
  <c r="AI62" i="3"/>
  <c r="J63" i="2"/>
  <c r="W62" i="3"/>
  <c r="K63" i="5"/>
  <c r="X63" i="6" s="1"/>
  <c r="L64" i="2"/>
  <c r="L38" i="5"/>
  <c r="E9" i="5"/>
  <c r="R8" i="6"/>
  <c r="AE8" i="6" s="1"/>
  <c r="O9" i="6"/>
  <c r="B10" i="6"/>
  <c r="S32" i="6"/>
  <c r="AF32" i="6" s="1"/>
  <c r="E10" i="3"/>
  <c r="R9" i="3"/>
  <c r="P32" i="3"/>
  <c r="AC32" i="3" s="1"/>
  <c r="G35" i="6"/>
  <c r="G34" i="5"/>
  <c r="Z52" i="3"/>
  <c r="M53" i="3"/>
  <c r="D33" i="5"/>
  <c r="AL52" i="6"/>
  <c r="C63" i="2"/>
  <c r="AD8" i="3"/>
  <c r="E9" i="2"/>
  <c r="AK17" i="6"/>
  <c r="L18" i="5"/>
  <c r="Y17" i="6"/>
  <c r="F10" i="6"/>
  <c r="S9" i="6"/>
  <c r="C54" i="6"/>
  <c r="P53" i="6"/>
  <c r="AB53" i="6" s="1"/>
  <c r="AM61" i="3"/>
  <c r="K37" i="6"/>
  <c r="E33" i="6"/>
  <c r="R32" i="6"/>
  <c r="K36" i="3"/>
  <c r="Y18" i="3"/>
  <c r="L19" i="3"/>
  <c r="J21" i="5"/>
  <c r="H66" i="6"/>
  <c r="AE52" i="6"/>
  <c r="F53" i="5"/>
  <c r="B53" i="2"/>
  <c r="O52" i="3"/>
  <c r="AB52" i="3" s="1"/>
  <c r="I54" i="2"/>
  <c r="K57" i="2"/>
  <c r="J63" i="6"/>
  <c r="W62" i="6"/>
  <c r="AJ62" i="6" s="1"/>
  <c r="U33" i="3"/>
  <c r="H34" i="3"/>
  <c r="I19" i="2"/>
  <c r="V7" i="3"/>
  <c r="AH7" i="3" s="1"/>
  <c r="I8" i="3"/>
  <c r="AI16" i="3"/>
  <c r="AH16" i="3"/>
  <c r="I10" i="2"/>
  <c r="AB16" i="6"/>
  <c r="AC16" i="6"/>
  <c r="J66" i="3"/>
  <c r="Q53" i="3"/>
  <c r="AC53" i="3" s="1"/>
  <c r="D54" i="3"/>
  <c r="H56" i="2"/>
  <c r="Y32" i="3"/>
  <c r="AK32" i="3" s="1"/>
  <c r="P7" i="6"/>
  <c r="AB7" i="6" s="1"/>
  <c r="C8" i="6"/>
  <c r="F64" i="6"/>
  <c r="D36" i="3"/>
  <c r="C54" i="5"/>
  <c r="J10" i="2"/>
  <c r="AJ51" i="6"/>
  <c r="B54" i="6"/>
  <c r="O53" i="6"/>
  <c r="M18" i="3"/>
  <c r="Z17" i="3"/>
  <c r="G67" i="3"/>
  <c r="AI7" i="6"/>
  <c r="J8" i="5"/>
  <c r="J54" i="5"/>
  <c r="D34" i="2"/>
  <c r="Q33" i="3"/>
  <c r="AC33" i="3" s="1"/>
  <c r="AM31" i="3"/>
  <c r="L34" i="3"/>
  <c r="Y33" i="3"/>
  <c r="H9" i="5"/>
  <c r="U9" i="6" s="1"/>
  <c r="AG8" i="6"/>
  <c r="V17" i="3"/>
  <c r="I18" i="3"/>
  <c r="R32" i="3"/>
  <c r="AD32" i="3" s="1"/>
  <c r="E33" i="3"/>
  <c r="P17" i="6"/>
  <c r="C18" i="6"/>
  <c r="J19" i="2"/>
  <c r="AE51" i="3"/>
  <c r="AD51" i="3"/>
  <c r="K18" i="5"/>
  <c r="X17" i="6"/>
  <c r="AJ17" i="6" s="1"/>
  <c r="AB52" i="6"/>
  <c r="G54" i="5"/>
  <c r="E22" i="5"/>
  <c r="M66" i="3"/>
  <c r="G11" i="3"/>
  <c r="K21" i="6"/>
  <c r="G20" i="2"/>
  <c r="T19" i="3"/>
  <c r="K9" i="5"/>
  <c r="F63" i="5"/>
  <c r="S63" i="6" s="1"/>
  <c r="AF63" i="6" s="1"/>
  <c r="H66" i="2"/>
  <c r="Y62" i="3"/>
  <c r="AK62" i="3" s="1"/>
  <c r="L63" i="3"/>
  <c r="O8" i="3"/>
  <c r="B9" i="3"/>
  <c r="AL17" i="6"/>
  <c r="AH8" i="6"/>
  <c r="I9" i="5"/>
  <c r="C8" i="5"/>
  <c r="C20" i="2"/>
  <c r="P19" i="3"/>
  <c r="AB19" i="3" s="1"/>
  <c r="F33" i="2"/>
  <c r="S32" i="3"/>
  <c r="AE32" i="3" s="1"/>
  <c r="F33" i="3"/>
  <c r="S17" i="3"/>
  <c r="F18" i="3"/>
  <c r="M35" i="3"/>
  <c r="D9" i="2"/>
  <c r="Q8" i="3"/>
  <c r="U52" i="6"/>
  <c r="H53" i="6"/>
  <c r="G23" i="5"/>
  <c r="H35" i="5"/>
  <c r="U34" i="6"/>
  <c r="AH34" i="6" s="1"/>
  <c r="F21" i="6"/>
  <c r="S20" i="6"/>
  <c r="E53" i="3"/>
  <c r="R52" i="3"/>
  <c r="L55" i="2"/>
  <c r="Y54" i="3"/>
  <c r="AK54" i="3" s="1"/>
  <c r="B34" i="6"/>
  <c r="O33" i="6"/>
  <c r="AB33" i="6" s="1"/>
  <c r="I68" i="3"/>
  <c r="C64" i="3"/>
  <c r="I63" i="5"/>
  <c r="V62" i="6"/>
  <c r="AH62" i="6" s="1"/>
  <c r="AE61" i="6"/>
  <c r="D33" i="6"/>
  <c r="Q32" i="6"/>
  <c r="AC32" i="6" s="1"/>
  <c r="I36" i="6"/>
  <c r="V35" i="6"/>
  <c r="E20" i="6"/>
  <c r="R19" i="6"/>
  <c r="AD19" i="6" s="1"/>
  <c r="F53" i="6"/>
  <c r="S52" i="6"/>
  <c r="K53" i="5"/>
  <c r="C63" i="5"/>
  <c r="P62" i="6"/>
  <c r="AB62" i="6" s="1"/>
  <c r="J53" i="6"/>
  <c r="W52" i="6"/>
  <c r="AI52" i="6" s="1"/>
  <c r="AF51" i="6"/>
  <c r="M64" i="6"/>
  <c r="Z63" i="6"/>
  <c r="AL63" i="6" s="1"/>
  <c r="AJ51" i="3"/>
  <c r="AI51" i="3"/>
  <c r="L18" i="2"/>
  <c r="AK17" i="3"/>
  <c r="B55" i="3"/>
  <c r="X52" i="6"/>
  <c r="AJ52" i="6" s="1"/>
  <c r="C8" i="3"/>
  <c r="P7" i="3"/>
  <c r="AC7" i="3" s="1"/>
  <c r="L64" i="6"/>
  <c r="Y63" i="6"/>
  <c r="G64" i="5"/>
  <c r="P62" i="3"/>
  <c r="AB62" i="3" s="1"/>
  <c r="AK7" i="6"/>
  <c r="E18" i="3"/>
  <c r="R17" i="3"/>
  <c r="I65" i="6"/>
  <c r="AD18" i="6"/>
  <c r="G63" i="2"/>
  <c r="T62" i="3"/>
  <c r="AF62" i="3" s="1"/>
  <c r="AG62" i="3"/>
  <c r="E63" i="5"/>
  <c r="R62" i="6"/>
  <c r="AD62" i="6" s="1"/>
  <c r="P33" i="3"/>
  <c r="C34" i="3"/>
  <c r="I36" i="5"/>
  <c r="AL51" i="3"/>
  <c r="AM51" i="3"/>
  <c r="E18" i="2"/>
  <c r="AD17" i="3"/>
  <c r="I10" i="6"/>
  <c r="F9" i="5"/>
  <c r="E66" i="6"/>
  <c r="L33" i="6"/>
  <c r="Y32" i="6"/>
  <c r="AK32" i="6" s="1"/>
  <c r="K19" i="2"/>
  <c r="AB7" i="3"/>
  <c r="C8" i="2"/>
  <c r="L8" i="3"/>
  <c r="Y7" i="3"/>
  <c r="AK7" i="3" s="1"/>
  <c r="M11" i="2"/>
  <c r="Y53" i="6"/>
  <c r="L54" i="6"/>
  <c r="M20" i="6"/>
  <c r="Z19" i="6"/>
  <c r="M20" i="5"/>
  <c r="G35" i="3"/>
  <c r="AG17" i="3"/>
  <c r="H18" i="2"/>
  <c r="H9" i="2"/>
  <c r="U8" i="3"/>
  <c r="AG8" i="3" s="1"/>
  <c r="W7" i="3"/>
  <c r="J8" i="3"/>
  <c r="AL16" i="3"/>
  <c r="AM16" i="3"/>
  <c r="K33" i="2"/>
  <c r="X32" i="3"/>
  <c r="AJ32" i="3" s="1"/>
  <c r="E65" i="3"/>
  <c r="E54" i="2"/>
  <c r="G53" i="6"/>
  <c r="T52" i="6"/>
  <c r="AF52" i="6" s="1"/>
  <c r="W33" i="6"/>
  <c r="AI33" i="6" s="1"/>
  <c r="J34" i="6"/>
  <c r="J53" i="3"/>
  <c r="W52" i="3"/>
  <c r="Q19" i="6"/>
  <c r="D20" i="6"/>
  <c r="W7" i="6"/>
  <c r="D54" i="2"/>
  <c r="D64" i="5"/>
  <c r="X53" i="6"/>
  <c r="K54" i="6"/>
  <c r="AK62" i="6"/>
  <c r="AF62" i="6"/>
  <c r="AE19" i="6"/>
  <c r="F20" i="5"/>
  <c r="L9" i="6"/>
  <c r="Y8" i="6"/>
  <c r="C25" i="3"/>
  <c r="K64" i="6"/>
  <c r="AM7" i="3"/>
  <c r="H64" i="5"/>
  <c r="U63" i="6"/>
  <c r="AG63" i="6" s="1"/>
  <c r="AF8" i="6"/>
  <c r="K10" i="2"/>
  <c r="M33" i="2"/>
  <c r="Z32" i="3"/>
  <c r="AM32" i="3" s="1"/>
  <c r="D63" i="2"/>
  <c r="L10" i="5"/>
  <c r="B63" i="6"/>
  <c r="O62" i="6"/>
  <c r="M63" i="2"/>
  <c r="Z62" i="3"/>
  <c r="AM62" i="3" s="1"/>
  <c r="K10" i="3"/>
  <c r="X9" i="3"/>
  <c r="L65" i="5"/>
  <c r="K36" i="5"/>
  <c r="AD52" i="6"/>
  <c r="E53" i="5"/>
  <c r="R52" i="6"/>
  <c r="C35" i="5"/>
  <c r="I53" i="6"/>
  <c r="V52" i="6"/>
  <c r="AH52" i="6" s="1"/>
  <c r="H55" i="5"/>
  <c r="J9" i="6"/>
  <c r="W8" i="6"/>
  <c r="F65" i="3"/>
  <c r="S64" i="3"/>
  <c r="H18" i="3"/>
  <c r="U17" i="3"/>
  <c r="C54" i="2"/>
  <c r="G9" i="2"/>
  <c r="T8" i="3"/>
  <c r="L20" i="6"/>
  <c r="M8" i="6"/>
  <c r="Z7" i="6"/>
  <c r="AL7" i="6" s="1"/>
  <c r="C55" i="3"/>
  <c r="P54" i="3"/>
  <c r="AG17" i="6"/>
  <c r="H18" i="5"/>
  <c r="K63" i="2"/>
  <c r="X62" i="3"/>
  <c r="AJ62" i="3" s="1"/>
  <c r="M9" i="3"/>
  <c r="Z8" i="3"/>
  <c r="K56" i="3"/>
  <c r="X55" i="3"/>
  <c r="X17" i="3"/>
  <c r="AJ17" i="3" s="1"/>
  <c r="K18" i="3"/>
  <c r="AD34" i="7" l="1"/>
  <c r="AD54" i="7"/>
  <c r="Z35" i="7"/>
  <c r="AL35" i="7" s="1"/>
  <c r="M36" i="7"/>
  <c r="P21" i="7"/>
  <c r="C22" i="7"/>
  <c r="G67" i="7"/>
  <c r="T66" i="7"/>
  <c r="AF66" i="7" s="1"/>
  <c r="M56" i="7"/>
  <c r="Z55" i="7"/>
  <c r="X10" i="7"/>
  <c r="K11" i="7"/>
  <c r="Y21" i="7"/>
  <c r="L22" i="7"/>
  <c r="AC64" i="7"/>
  <c r="AJ63" i="7"/>
  <c r="S54" i="7"/>
  <c r="AE54" i="7" s="1"/>
  <c r="F55" i="7"/>
  <c r="J65" i="7"/>
  <c r="W64" i="7"/>
  <c r="AI64" i="7" s="1"/>
  <c r="O65" i="7"/>
  <c r="B66" i="7"/>
  <c r="Z10" i="7"/>
  <c r="AL10" i="7" s="1"/>
  <c r="M11" i="7"/>
  <c r="R64" i="7"/>
  <c r="E65" i="7"/>
  <c r="AG19" i="7"/>
  <c r="M66" i="7"/>
  <c r="Z65" i="7"/>
  <c r="AL65" i="7" s="1"/>
  <c r="T54" i="7"/>
  <c r="G55" i="7"/>
  <c r="V11" i="7"/>
  <c r="I12" i="7"/>
  <c r="V12" i="7" s="1"/>
  <c r="AD63" i="7"/>
  <c r="AE63" i="7"/>
  <c r="V40" i="7"/>
  <c r="I41" i="7"/>
  <c r="AF53" i="7"/>
  <c r="H66" i="7"/>
  <c r="U65" i="7"/>
  <c r="AG65" i="7" s="1"/>
  <c r="U20" i="7"/>
  <c r="AG20" i="7" s="1"/>
  <c r="H21" i="7"/>
  <c r="R21" i="7"/>
  <c r="E22" i="7"/>
  <c r="AH10" i="7"/>
  <c r="E12" i="7"/>
  <c r="R12" i="7" s="1"/>
  <c r="AD12" i="7" s="1"/>
  <c r="R11" i="7"/>
  <c r="AD11" i="7" s="1"/>
  <c r="L69" i="7"/>
  <c r="Y68" i="7"/>
  <c r="U54" i="7"/>
  <c r="H55" i="7"/>
  <c r="AJ9" i="7"/>
  <c r="AK9" i="7"/>
  <c r="E36" i="7"/>
  <c r="R35" i="7"/>
  <c r="AJ54" i="7"/>
  <c r="K35" i="7"/>
  <c r="X34" i="7"/>
  <c r="C36" i="7"/>
  <c r="P35" i="7"/>
  <c r="L37" i="7"/>
  <c r="Y36" i="7"/>
  <c r="K56" i="7"/>
  <c r="X55" i="7"/>
  <c r="M22" i="7"/>
  <c r="Z21" i="7"/>
  <c r="L55" i="7"/>
  <c r="Y54" i="7"/>
  <c r="AK54" i="7" s="1"/>
  <c r="B20" i="7"/>
  <c r="O19" i="7"/>
  <c r="AB19" i="7" s="1"/>
  <c r="R55" i="7"/>
  <c r="E56" i="7"/>
  <c r="AH54" i="7"/>
  <c r="AB34" i="7"/>
  <c r="O35" i="7"/>
  <c r="B36" i="7"/>
  <c r="AG33" i="7"/>
  <c r="AH33" i="7"/>
  <c r="W10" i="7"/>
  <c r="AI10" i="7" s="1"/>
  <c r="J11" i="7"/>
  <c r="I56" i="7"/>
  <c r="V55" i="7"/>
  <c r="J35" i="7"/>
  <c r="W34" i="7"/>
  <c r="AI34" i="7" s="1"/>
  <c r="P65" i="7"/>
  <c r="AB65" i="7" s="1"/>
  <c r="C66" i="7"/>
  <c r="B56" i="7"/>
  <c r="O55" i="7"/>
  <c r="G11" i="7"/>
  <c r="T10" i="7"/>
  <c r="AF10" i="7" s="1"/>
  <c r="F12" i="7"/>
  <c r="S12" i="7" s="1"/>
  <c r="S11" i="7"/>
  <c r="H35" i="7"/>
  <c r="U34" i="7"/>
  <c r="AJ64" i="7"/>
  <c r="AK64" i="7"/>
  <c r="P55" i="7"/>
  <c r="C56" i="7"/>
  <c r="AE34" i="7"/>
  <c r="AJ33" i="7"/>
  <c r="AK33" i="7"/>
  <c r="S35" i="7"/>
  <c r="AE35" i="7" s="1"/>
  <c r="F36" i="7"/>
  <c r="Q55" i="7"/>
  <c r="AC55" i="7" s="1"/>
  <c r="D56" i="7"/>
  <c r="K21" i="7"/>
  <c r="X20" i="7"/>
  <c r="AJ20" i="7" s="1"/>
  <c r="G37" i="7"/>
  <c r="T36" i="7"/>
  <c r="J21" i="7"/>
  <c r="W20" i="7"/>
  <c r="V65" i="7"/>
  <c r="I66" i="7"/>
  <c r="AG9" i="7"/>
  <c r="AH19" i="7"/>
  <c r="J55" i="7"/>
  <c r="W54" i="7"/>
  <c r="AI54" i="7" s="1"/>
  <c r="AL54" i="7"/>
  <c r="D66" i="7"/>
  <c r="Q65" i="7"/>
  <c r="AC65" i="7" s="1"/>
  <c r="AC18" i="7"/>
  <c r="AD18" i="7"/>
  <c r="D20" i="7"/>
  <c r="Q19" i="7"/>
  <c r="AE20" i="7"/>
  <c r="AL20" i="7"/>
  <c r="K66" i="7"/>
  <c r="X65" i="7"/>
  <c r="AB54" i="7"/>
  <c r="V20" i="7"/>
  <c r="I21" i="7"/>
  <c r="F26" i="7"/>
  <c r="S25" i="7"/>
  <c r="AC34" i="7"/>
  <c r="D36" i="7"/>
  <c r="Q35" i="7"/>
  <c r="AC35" i="7" s="1"/>
  <c r="AC54" i="7"/>
  <c r="T20" i="7"/>
  <c r="AF20" i="7" s="1"/>
  <c r="G21" i="7"/>
  <c r="AI19" i="7"/>
  <c r="AH64" i="7"/>
  <c r="U10" i="7"/>
  <c r="H11" i="7"/>
  <c r="S68" i="7"/>
  <c r="F69" i="7"/>
  <c r="E11" i="3"/>
  <c r="AM8" i="3"/>
  <c r="AL8" i="3"/>
  <c r="C55" i="2"/>
  <c r="E54" i="5"/>
  <c r="R53" i="6"/>
  <c r="AD53" i="6" s="1"/>
  <c r="AC62" i="3"/>
  <c r="D21" i="6"/>
  <c r="Q20" i="6"/>
  <c r="M12" i="2"/>
  <c r="I11" i="6"/>
  <c r="F54" i="6"/>
  <c r="S53" i="6"/>
  <c r="AE53" i="6" s="1"/>
  <c r="I10" i="5"/>
  <c r="V10" i="6" s="1"/>
  <c r="AH9" i="6"/>
  <c r="J55" i="5"/>
  <c r="D37" i="3"/>
  <c r="I11" i="2"/>
  <c r="AM52" i="3"/>
  <c r="AL52" i="3"/>
  <c r="L65" i="2"/>
  <c r="F10" i="2"/>
  <c r="G21" i="6"/>
  <c r="T20" i="6"/>
  <c r="AF20" i="6" s="1"/>
  <c r="I36" i="3"/>
  <c r="V18" i="3"/>
  <c r="I19" i="3"/>
  <c r="K20" i="2"/>
  <c r="Z9" i="3"/>
  <c r="M10" i="3"/>
  <c r="D64" i="2"/>
  <c r="J9" i="3"/>
  <c r="W8" i="3"/>
  <c r="AE62" i="3"/>
  <c r="O34" i="6"/>
  <c r="AB34" i="6" s="1"/>
  <c r="B35" i="6"/>
  <c r="K22" i="6"/>
  <c r="J20" i="2"/>
  <c r="B54" i="2"/>
  <c r="O53" i="3"/>
  <c r="AB53" i="3" s="1"/>
  <c r="G35" i="5"/>
  <c r="J34" i="3"/>
  <c r="W33" i="3"/>
  <c r="G56" i="2"/>
  <c r="T55" i="3"/>
  <c r="AC7" i="6"/>
  <c r="J34" i="2"/>
  <c r="AI33" i="3"/>
  <c r="AL17" i="3"/>
  <c r="AM17" i="3"/>
  <c r="D9" i="6"/>
  <c r="Q8" i="6"/>
  <c r="AC8" i="6" s="1"/>
  <c r="C26" i="3"/>
  <c r="AI52" i="3"/>
  <c r="AJ52" i="3"/>
  <c r="AI7" i="3"/>
  <c r="AJ7" i="3"/>
  <c r="E19" i="2"/>
  <c r="L19" i="2"/>
  <c r="D10" i="2"/>
  <c r="Q9" i="3"/>
  <c r="AD9" i="3" s="1"/>
  <c r="P18" i="6"/>
  <c r="C19" i="6"/>
  <c r="J9" i="5"/>
  <c r="AI8" i="6"/>
  <c r="F54" i="5"/>
  <c r="P54" i="6"/>
  <c r="AC54" i="6" s="1"/>
  <c r="C55" i="6"/>
  <c r="K64" i="5"/>
  <c r="D64" i="6"/>
  <c r="Q63" i="6"/>
  <c r="AC63" i="6" s="1"/>
  <c r="H11" i="6"/>
  <c r="F55" i="2"/>
  <c r="C37" i="6"/>
  <c r="AF54" i="3"/>
  <c r="D9" i="5"/>
  <c r="O21" i="3"/>
  <c r="B22" i="3"/>
  <c r="D24" i="2"/>
  <c r="M36" i="5"/>
  <c r="O33" i="3"/>
  <c r="B34" i="3"/>
  <c r="J19" i="6"/>
  <c r="W18" i="6"/>
  <c r="AI18" i="6" s="1"/>
  <c r="K64" i="2"/>
  <c r="X63" i="3"/>
  <c r="U18" i="3"/>
  <c r="H19" i="3"/>
  <c r="K37" i="5"/>
  <c r="AL32" i="3"/>
  <c r="AK8" i="6"/>
  <c r="W53" i="3"/>
  <c r="J54" i="3"/>
  <c r="I66" i="6"/>
  <c r="R20" i="6"/>
  <c r="E21" i="6"/>
  <c r="L56" i="2"/>
  <c r="Y55" i="3"/>
  <c r="AK55" i="3" s="1"/>
  <c r="O9" i="3"/>
  <c r="B10" i="3"/>
  <c r="G12" i="3"/>
  <c r="AC17" i="6"/>
  <c r="AB17" i="6"/>
  <c r="F65" i="6"/>
  <c r="G36" i="6"/>
  <c r="T35" i="6"/>
  <c r="F56" i="3"/>
  <c r="AB33" i="3"/>
  <c r="C34" i="2"/>
  <c r="AL64" i="6"/>
  <c r="M65" i="5"/>
  <c r="Q63" i="3"/>
  <c r="D64" i="3"/>
  <c r="D22" i="5"/>
  <c r="AF32" i="3"/>
  <c r="L66" i="5"/>
  <c r="M34" i="2"/>
  <c r="AM33" i="3"/>
  <c r="Z33" i="3"/>
  <c r="AL33" i="3" s="1"/>
  <c r="L10" i="6"/>
  <c r="Y9" i="6"/>
  <c r="J35" i="6"/>
  <c r="W34" i="6"/>
  <c r="AI34" i="6" s="1"/>
  <c r="AG9" i="3"/>
  <c r="H10" i="2"/>
  <c r="U9" i="3"/>
  <c r="Y8" i="3"/>
  <c r="AK8" i="3" s="1"/>
  <c r="L9" i="3"/>
  <c r="M36" i="3"/>
  <c r="E34" i="3"/>
  <c r="R33" i="3"/>
  <c r="AD33" i="3" s="1"/>
  <c r="C9" i="6"/>
  <c r="P8" i="6"/>
  <c r="I9" i="3"/>
  <c r="V8" i="3"/>
  <c r="AH8" i="3" s="1"/>
  <c r="H67" i="6"/>
  <c r="S10" i="6"/>
  <c r="F11" i="6"/>
  <c r="T34" i="6"/>
  <c r="L34" i="2"/>
  <c r="M55" i="2"/>
  <c r="F21" i="2"/>
  <c r="S54" i="3"/>
  <c r="AB32" i="3"/>
  <c r="I54" i="5"/>
  <c r="H20" i="6"/>
  <c r="U19" i="6"/>
  <c r="AD63" i="3"/>
  <c r="E64" i="2"/>
  <c r="R63" i="3"/>
  <c r="AE63" i="3"/>
  <c r="I19" i="5"/>
  <c r="H19" i="5"/>
  <c r="F66" i="3"/>
  <c r="S65" i="3"/>
  <c r="F21" i="5"/>
  <c r="AE20" i="6"/>
  <c r="C9" i="2"/>
  <c r="I37" i="5"/>
  <c r="R18" i="3"/>
  <c r="AD18" i="3" s="1"/>
  <c r="E19" i="3"/>
  <c r="I37" i="6"/>
  <c r="V36" i="6"/>
  <c r="AD52" i="3"/>
  <c r="AE52" i="3"/>
  <c r="F19" i="3"/>
  <c r="S18" i="3"/>
  <c r="L64" i="3"/>
  <c r="Y63" i="3"/>
  <c r="M67" i="3"/>
  <c r="G68" i="3"/>
  <c r="J64" i="2"/>
  <c r="W63" i="3"/>
  <c r="AI63" i="3" s="1"/>
  <c r="U18" i="6"/>
  <c r="AG18" i="6" s="1"/>
  <c r="F34" i="5"/>
  <c r="S34" i="6" s="1"/>
  <c r="F66" i="2"/>
  <c r="G66" i="6"/>
  <c r="T65" i="6"/>
  <c r="R53" i="3"/>
  <c r="E54" i="3"/>
  <c r="E34" i="5"/>
  <c r="G54" i="6"/>
  <c r="T53" i="6"/>
  <c r="D34" i="6"/>
  <c r="Q33" i="6"/>
  <c r="AC33" i="6" s="1"/>
  <c r="E23" i="5"/>
  <c r="I20" i="2"/>
  <c r="AD32" i="6"/>
  <c r="G55" i="5"/>
  <c r="H35" i="3"/>
  <c r="U34" i="3"/>
  <c r="H56" i="5"/>
  <c r="H10" i="5"/>
  <c r="U10" i="6" s="1"/>
  <c r="AG9" i="6"/>
  <c r="J55" i="2"/>
  <c r="Z8" i="6"/>
  <c r="AL8" i="6" s="1"/>
  <c r="M9" i="6"/>
  <c r="AL63" i="3"/>
  <c r="M64" i="2"/>
  <c r="Z63" i="3"/>
  <c r="AM63" i="3" s="1"/>
  <c r="H65" i="5"/>
  <c r="U64" i="6"/>
  <c r="AG64" i="6" s="1"/>
  <c r="M21" i="5"/>
  <c r="L34" i="6"/>
  <c r="Y33" i="6"/>
  <c r="AK33" i="6" s="1"/>
  <c r="E64" i="5"/>
  <c r="R63" i="6"/>
  <c r="AD63" i="6" s="1"/>
  <c r="AK63" i="6"/>
  <c r="AH63" i="6"/>
  <c r="I64" i="5"/>
  <c r="V63" i="6"/>
  <c r="AG34" i="6"/>
  <c r="F34" i="2"/>
  <c r="AE62" i="6"/>
  <c r="AI62" i="6"/>
  <c r="C64" i="2"/>
  <c r="X8" i="6"/>
  <c r="AJ8" i="6" s="1"/>
  <c r="K9" i="6"/>
  <c r="H38" i="6"/>
  <c r="I64" i="2"/>
  <c r="V63" i="3"/>
  <c r="AH63" i="3" s="1"/>
  <c r="E57" i="6"/>
  <c r="M56" i="5"/>
  <c r="K11" i="2"/>
  <c r="S33" i="3"/>
  <c r="AF33" i="3" s="1"/>
  <c r="F34" i="3"/>
  <c r="C56" i="3"/>
  <c r="S21" i="6"/>
  <c r="F22" i="6"/>
  <c r="E55" i="2"/>
  <c r="O54" i="6"/>
  <c r="AB54" i="6" s="1"/>
  <c r="B55" i="6"/>
  <c r="AJ33" i="6"/>
  <c r="AL62" i="3"/>
  <c r="D65" i="5"/>
  <c r="E66" i="3"/>
  <c r="L65" i="6"/>
  <c r="Y64" i="6"/>
  <c r="H36" i="5"/>
  <c r="U35" i="6"/>
  <c r="AH35" i="6" s="1"/>
  <c r="K10" i="5"/>
  <c r="L35" i="3"/>
  <c r="Y34" i="3"/>
  <c r="W63" i="6"/>
  <c r="AI63" i="6" s="1"/>
  <c r="J64" i="6"/>
  <c r="K37" i="3"/>
  <c r="F35" i="6"/>
  <c r="I19" i="6"/>
  <c r="V18" i="6"/>
  <c r="AH18" i="6" s="1"/>
  <c r="H55" i="3"/>
  <c r="U54" i="3"/>
  <c r="AG54" i="3" s="1"/>
  <c r="H12" i="3"/>
  <c r="Z64" i="6"/>
  <c r="M65" i="6"/>
  <c r="J22" i="5"/>
  <c r="J10" i="6"/>
  <c r="W9" i="6"/>
  <c r="M19" i="3"/>
  <c r="Z18" i="3"/>
  <c r="M20" i="2"/>
  <c r="Q54" i="3"/>
  <c r="D55" i="3"/>
  <c r="G34" i="2"/>
  <c r="T33" i="3"/>
  <c r="AG33" i="3" s="1"/>
  <c r="K19" i="3"/>
  <c r="X18" i="3"/>
  <c r="AJ18" i="3" s="1"/>
  <c r="L21" i="6"/>
  <c r="I54" i="6"/>
  <c r="V53" i="6"/>
  <c r="AH53" i="6" s="1"/>
  <c r="E67" i="6"/>
  <c r="AB63" i="6"/>
  <c r="C64" i="5"/>
  <c r="P63" i="6"/>
  <c r="P64" i="3"/>
  <c r="C65" i="3"/>
  <c r="G24" i="5"/>
  <c r="C21" i="2"/>
  <c r="P20" i="3"/>
  <c r="AB20" i="3" s="1"/>
  <c r="AJ18" i="6"/>
  <c r="K19" i="5"/>
  <c r="X18" i="6"/>
  <c r="J67" i="3"/>
  <c r="E10" i="5"/>
  <c r="R9" i="6"/>
  <c r="O63" i="3"/>
  <c r="B64" i="3"/>
  <c r="S33" i="6"/>
  <c r="AF33" i="6" s="1"/>
  <c r="H36" i="2"/>
  <c r="AL32" i="6"/>
  <c r="AK53" i="6"/>
  <c r="L54" i="5"/>
  <c r="Y54" i="6" s="1"/>
  <c r="AC53" i="6"/>
  <c r="AG18" i="3"/>
  <c r="H19" i="2"/>
  <c r="L19" i="5"/>
  <c r="Y18" i="6"/>
  <c r="AL18" i="6" s="1"/>
  <c r="K11" i="3"/>
  <c r="X10" i="3"/>
  <c r="F9" i="3"/>
  <c r="S8" i="3"/>
  <c r="AE8" i="3" s="1"/>
  <c r="G65" i="5"/>
  <c r="C66" i="6"/>
  <c r="AE63" i="6"/>
  <c r="F64" i="5"/>
  <c r="C36" i="5"/>
  <c r="B64" i="6"/>
  <c r="O63" i="6"/>
  <c r="AL7" i="3"/>
  <c r="AC54" i="3"/>
  <c r="D55" i="2"/>
  <c r="K34" i="2"/>
  <c r="X33" i="3"/>
  <c r="AJ33" i="3" s="1"/>
  <c r="Z20" i="6"/>
  <c r="M21" i="6"/>
  <c r="AE9" i="6"/>
  <c r="F10" i="5"/>
  <c r="AF9" i="6"/>
  <c r="P8" i="3"/>
  <c r="AC8" i="3" s="1"/>
  <c r="C9" i="3"/>
  <c r="AJ53" i="6"/>
  <c r="K54" i="5"/>
  <c r="P63" i="3"/>
  <c r="AC63" i="3" s="1"/>
  <c r="J11" i="2"/>
  <c r="R33" i="6"/>
  <c r="AD33" i="6" s="1"/>
  <c r="E34" i="6"/>
  <c r="D34" i="5"/>
  <c r="AD8" i="6"/>
  <c r="C20" i="5"/>
  <c r="K67" i="3"/>
  <c r="J21" i="3"/>
  <c r="W20" i="3"/>
  <c r="H67" i="3"/>
  <c r="U66" i="3"/>
  <c r="Z33" i="6"/>
  <c r="AL33" i="6" s="1"/>
  <c r="M34" i="6"/>
  <c r="E36" i="2"/>
  <c r="AK52" i="6"/>
  <c r="AE17" i="3"/>
  <c r="AF17" i="3"/>
  <c r="M55" i="6"/>
  <c r="Z54" i="6"/>
  <c r="H67" i="2"/>
  <c r="H57" i="2"/>
  <c r="G23" i="3"/>
  <c r="L20" i="3"/>
  <c r="Y19" i="3"/>
  <c r="E10" i="2"/>
  <c r="K55" i="6"/>
  <c r="B11" i="6"/>
  <c r="O10" i="6"/>
  <c r="G10" i="2"/>
  <c r="T9" i="3"/>
  <c r="L11" i="5"/>
  <c r="L55" i="6"/>
  <c r="H54" i="6"/>
  <c r="U53" i="6"/>
  <c r="AG53" i="6" s="1"/>
  <c r="AB8" i="6"/>
  <c r="C9" i="5"/>
  <c r="D35" i="2"/>
  <c r="Q34" i="3"/>
  <c r="C55" i="5"/>
  <c r="AH54" i="3"/>
  <c r="I55" i="2"/>
  <c r="X36" i="6"/>
  <c r="L39" i="5"/>
  <c r="J35" i="5"/>
  <c r="M12" i="5"/>
  <c r="W19" i="3"/>
  <c r="V54" i="3"/>
  <c r="J65" i="5"/>
  <c r="O19" i="6"/>
  <c r="B20" i="6"/>
  <c r="G12" i="5"/>
  <c r="AE7" i="3"/>
  <c r="AF7" i="3"/>
  <c r="C35" i="3"/>
  <c r="AI17" i="3"/>
  <c r="AH17" i="3"/>
  <c r="AH33" i="3"/>
  <c r="I34" i="2"/>
  <c r="V33" i="3"/>
  <c r="G36" i="3"/>
  <c r="W53" i="6"/>
  <c r="J54" i="6"/>
  <c r="G12" i="6"/>
  <c r="T11" i="6"/>
  <c r="X56" i="3"/>
  <c r="K57" i="3"/>
  <c r="X57" i="3" s="1"/>
  <c r="K65" i="6"/>
  <c r="X64" i="6"/>
  <c r="V9" i="6"/>
  <c r="G64" i="2"/>
  <c r="T63" i="3"/>
  <c r="AG63" i="3" s="1"/>
  <c r="B56" i="3"/>
  <c r="I69" i="3"/>
  <c r="AG52" i="6"/>
  <c r="G21" i="2"/>
  <c r="T20" i="3"/>
  <c r="AH53" i="3"/>
  <c r="K38" i="6"/>
  <c r="X37" i="6"/>
  <c r="M54" i="3"/>
  <c r="Z53" i="3"/>
  <c r="D56" i="5"/>
  <c r="Q55" i="6"/>
  <c r="Q19" i="3"/>
  <c r="AC19" i="3" s="1"/>
  <c r="D20" i="3"/>
  <c r="I56" i="3"/>
  <c r="Q20" i="7" l="1"/>
  <c r="D21" i="7"/>
  <c r="K22" i="7"/>
  <c r="X21" i="7"/>
  <c r="Y37" i="7"/>
  <c r="L38" i="7"/>
  <c r="AF54" i="7"/>
  <c r="AB35" i="7"/>
  <c r="F27" i="7"/>
  <c r="S27" i="7" s="1"/>
  <c r="S26" i="7"/>
  <c r="P36" i="7"/>
  <c r="C37" i="7"/>
  <c r="E23" i="7"/>
  <c r="R22" i="7"/>
  <c r="M67" i="7"/>
  <c r="Z66" i="7"/>
  <c r="AL66" i="7" s="1"/>
  <c r="AK20" i="7"/>
  <c r="I22" i="7"/>
  <c r="V21" i="7"/>
  <c r="T11" i="7"/>
  <c r="AF11" i="7" s="1"/>
  <c r="G12" i="7"/>
  <c r="T12" i="7" s="1"/>
  <c r="AF12" i="7" s="1"/>
  <c r="AJ34" i="7"/>
  <c r="AK34" i="7"/>
  <c r="AE21" i="7"/>
  <c r="X11" i="7"/>
  <c r="K12" i="7"/>
  <c r="X12" i="7" s="1"/>
  <c r="K57" i="7"/>
  <c r="X57" i="7" s="1"/>
  <c r="X56" i="7"/>
  <c r="AH20" i="7"/>
  <c r="F37" i="7"/>
  <c r="S36" i="7"/>
  <c r="K36" i="7"/>
  <c r="X35" i="7"/>
  <c r="H22" i="7"/>
  <c r="U21" i="7"/>
  <c r="E66" i="7"/>
  <c r="R65" i="7"/>
  <c r="AJ10" i="7"/>
  <c r="AK10" i="7"/>
  <c r="Q56" i="7"/>
  <c r="AC56" i="7" s="1"/>
  <c r="D57" i="7"/>
  <c r="Q57" i="7" s="1"/>
  <c r="AC57" i="7" s="1"/>
  <c r="AJ65" i="7"/>
  <c r="AK65" i="7"/>
  <c r="C67" i="7"/>
  <c r="P66" i="7"/>
  <c r="AB66" i="7" s="1"/>
  <c r="AD55" i="7"/>
  <c r="AD35" i="7"/>
  <c r="M12" i="7"/>
  <c r="Z12" i="7" s="1"/>
  <c r="AL12" i="7" s="1"/>
  <c r="Z11" i="7"/>
  <c r="AL11" i="7" s="1"/>
  <c r="Z56" i="7"/>
  <c r="M57" i="7"/>
  <c r="Z57" i="7" s="1"/>
  <c r="G38" i="7"/>
  <c r="T37" i="7"/>
  <c r="AE12" i="7"/>
  <c r="O56" i="7"/>
  <c r="B57" i="7"/>
  <c r="O57" i="7" s="1"/>
  <c r="X66" i="7"/>
  <c r="K67" i="7"/>
  <c r="E37" i="7"/>
  <c r="R36" i="7"/>
  <c r="AD36" i="7" s="1"/>
  <c r="H67" i="7"/>
  <c r="U66" i="7"/>
  <c r="AG66" i="7" s="1"/>
  <c r="AG10" i="7"/>
  <c r="AF35" i="7"/>
  <c r="B21" i="7"/>
  <c r="O20" i="7"/>
  <c r="AB20" i="7" s="1"/>
  <c r="B67" i="7"/>
  <c r="O66" i="7"/>
  <c r="G68" i="7"/>
  <c r="T67" i="7"/>
  <c r="AF67" i="7" s="1"/>
  <c r="AF36" i="7"/>
  <c r="L70" i="7"/>
  <c r="Y69" i="7"/>
  <c r="AE11" i="7"/>
  <c r="D67" i="7"/>
  <c r="Q66" i="7"/>
  <c r="AC66" i="7" s="1"/>
  <c r="I67" i="7"/>
  <c r="V66" i="7"/>
  <c r="J36" i="7"/>
  <c r="W35" i="7"/>
  <c r="AI35" i="7" s="1"/>
  <c r="I42" i="7"/>
  <c r="V41" i="7"/>
  <c r="P22" i="7"/>
  <c r="C23" i="7"/>
  <c r="AG34" i="7"/>
  <c r="AH34" i="7"/>
  <c r="U35" i="7"/>
  <c r="H36" i="7"/>
  <c r="J56" i="7"/>
  <c r="W55" i="7"/>
  <c r="AI55" i="7" s="1"/>
  <c r="R56" i="7"/>
  <c r="AD56" i="7" s="1"/>
  <c r="E57" i="7"/>
  <c r="R57" i="7" s="1"/>
  <c r="AH65" i="7"/>
  <c r="C57" i="7"/>
  <c r="P57" i="7" s="1"/>
  <c r="P56" i="7"/>
  <c r="L56" i="7"/>
  <c r="Y55" i="7"/>
  <c r="AK55" i="7" s="1"/>
  <c r="G56" i="7"/>
  <c r="T55" i="7"/>
  <c r="AF55" i="7" s="1"/>
  <c r="AK21" i="7"/>
  <c r="U11" i="7"/>
  <c r="AG11" i="7" s="1"/>
  <c r="H12" i="7"/>
  <c r="U12" i="7" s="1"/>
  <c r="AG12" i="7" s="1"/>
  <c r="AI20" i="7"/>
  <c r="I57" i="7"/>
  <c r="V57" i="7" s="1"/>
  <c r="V56" i="7"/>
  <c r="AL21" i="7"/>
  <c r="H56" i="7"/>
  <c r="U55" i="7"/>
  <c r="J66" i="7"/>
  <c r="W65" i="7"/>
  <c r="AI65" i="7" s="1"/>
  <c r="M37" i="7"/>
  <c r="Z36" i="7"/>
  <c r="AL36" i="7" s="1"/>
  <c r="Q36" i="7"/>
  <c r="AC36" i="7" s="1"/>
  <c r="D37" i="7"/>
  <c r="O36" i="7"/>
  <c r="B37" i="7"/>
  <c r="L23" i="7"/>
  <c r="Y22" i="7"/>
  <c r="S69" i="7"/>
  <c r="F70" i="7"/>
  <c r="AD64" i="7"/>
  <c r="AE64" i="7"/>
  <c r="G22" i="7"/>
  <c r="T21" i="7"/>
  <c r="AF21" i="7" s="1"/>
  <c r="AB55" i="7"/>
  <c r="AC19" i="7"/>
  <c r="AD19" i="7"/>
  <c r="J22" i="7"/>
  <c r="W21" i="7"/>
  <c r="AI21" i="7" s="1"/>
  <c r="W11" i="7"/>
  <c r="AI11" i="7" s="1"/>
  <c r="J12" i="7"/>
  <c r="W12" i="7" s="1"/>
  <c r="AI12" i="7" s="1"/>
  <c r="M23" i="7"/>
  <c r="Z22" i="7"/>
  <c r="AL22" i="7" s="1"/>
  <c r="AG54" i="7"/>
  <c r="F56" i="7"/>
  <c r="S55" i="7"/>
  <c r="AE55" i="7" s="1"/>
  <c r="AI19" i="3"/>
  <c r="AF34" i="6"/>
  <c r="H12" i="6"/>
  <c r="D57" i="5"/>
  <c r="Q56" i="6"/>
  <c r="J12" i="2"/>
  <c r="M21" i="2"/>
  <c r="V19" i="6"/>
  <c r="I20" i="6"/>
  <c r="E67" i="3"/>
  <c r="H36" i="3"/>
  <c r="U35" i="3"/>
  <c r="AF18" i="3"/>
  <c r="AE18" i="3"/>
  <c r="M56" i="2"/>
  <c r="O22" i="3"/>
  <c r="B23" i="3"/>
  <c r="G36" i="5"/>
  <c r="Z10" i="3"/>
  <c r="M11" i="3"/>
  <c r="F12" i="6"/>
  <c r="S11" i="6"/>
  <c r="AF64" i="3"/>
  <c r="G65" i="2"/>
  <c r="T64" i="3"/>
  <c r="AG64" i="3"/>
  <c r="E11" i="2"/>
  <c r="Z34" i="6"/>
  <c r="M35" i="6"/>
  <c r="L20" i="5"/>
  <c r="AL19" i="6"/>
  <c r="Y19" i="6"/>
  <c r="AK19" i="6" s="1"/>
  <c r="S35" i="6"/>
  <c r="AF35" i="6" s="1"/>
  <c r="F36" i="6"/>
  <c r="H66" i="5"/>
  <c r="U65" i="6"/>
  <c r="AG65" i="6" s="1"/>
  <c r="G56" i="5"/>
  <c r="T66" i="6"/>
  <c r="G67" i="6"/>
  <c r="F20" i="3"/>
  <c r="S19" i="3"/>
  <c r="H20" i="5"/>
  <c r="AG19" i="6"/>
  <c r="M37" i="3"/>
  <c r="K38" i="5"/>
  <c r="F55" i="5"/>
  <c r="AM9" i="3"/>
  <c r="AL9" i="3"/>
  <c r="I12" i="2"/>
  <c r="D22" i="6"/>
  <c r="Q21" i="6"/>
  <c r="J36" i="6"/>
  <c r="W35" i="6"/>
  <c r="AJ35" i="6" s="1"/>
  <c r="J20" i="6"/>
  <c r="W19" i="6"/>
  <c r="AM53" i="3"/>
  <c r="AL53" i="3"/>
  <c r="AF63" i="3"/>
  <c r="AJ34" i="6"/>
  <c r="U54" i="6"/>
  <c r="H55" i="6"/>
  <c r="AK18" i="6"/>
  <c r="J68" i="3"/>
  <c r="E68" i="6"/>
  <c r="K12" i="2"/>
  <c r="AE33" i="3"/>
  <c r="F67" i="2"/>
  <c r="AH19" i="6"/>
  <c r="I20" i="5"/>
  <c r="Y9" i="3"/>
  <c r="AK9" i="3" s="1"/>
  <c r="L10" i="3"/>
  <c r="C35" i="2"/>
  <c r="R21" i="6"/>
  <c r="AD21" i="6" s="1"/>
  <c r="E22" i="6"/>
  <c r="M55" i="3"/>
  <c r="Z54" i="3"/>
  <c r="P35" i="3"/>
  <c r="C36" i="3"/>
  <c r="L21" i="3"/>
  <c r="AJ54" i="6"/>
  <c r="K55" i="5"/>
  <c r="B65" i="6"/>
  <c r="O64" i="6"/>
  <c r="AG19" i="3"/>
  <c r="H20" i="2"/>
  <c r="AL18" i="3"/>
  <c r="AM18" i="3"/>
  <c r="K38" i="3"/>
  <c r="D66" i="5"/>
  <c r="M57" i="5"/>
  <c r="F35" i="2"/>
  <c r="L35" i="2"/>
  <c r="Y35" i="3" s="1"/>
  <c r="D23" i="5"/>
  <c r="H20" i="3"/>
  <c r="U19" i="3"/>
  <c r="D10" i="5"/>
  <c r="AC9" i="6"/>
  <c r="C27" i="3"/>
  <c r="B55" i="2"/>
  <c r="O54" i="3"/>
  <c r="AB54" i="3" s="1"/>
  <c r="K21" i="2"/>
  <c r="M66" i="5"/>
  <c r="P34" i="3"/>
  <c r="AC34" i="3" s="1"/>
  <c r="AI35" i="6"/>
  <c r="J36" i="5"/>
  <c r="L56" i="6"/>
  <c r="G24" i="3"/>
  <c r="H68" i="3"/>
  <c r="U67" i="3"/>
  <c r="C37" i="5"/>
  <c r="M20" i="3"/>
  <c r="Z19" i="3"/>
  <c r="AL64" i="3"/>
  <c r="M65" i="2"/>
  <c r="Z64" i="3"/>
  <c r="AM64" i="3" s="1"/>
  <c r="I21" i="2"/>
  <c r="F35" i="5"/>
  <c r="AK33" i="3"/>
  <c r="Q64" i="3"/>
  <c r="D65" i="3"/>
  <c r="O10" i="3"/>
  <c r="B11" i="3"/>
  <c r="AI9" i="6"/>
  <c r="J10" i="5"/>
  <c r="J21" i="2"/>
  <c r="V19" i="3"/>
  <c r="I20" i="3"/>
  <c r="D38" i="3"/>
  <c r="AD54" i="6"/>
  <c r="E55" i="5"/>
  <c r="R54" i="6"/>
  <c r="H68" i="6"/>
  <c r="X38" i="6"/>
  <c r="K39" i="6"/>
  <c r="K66" i="6"/>
  <c r="L40" i="5"/>
  <c r="L12" i="5"/>
  <c r="P9" i="3"/>
  <c r="AC9" i="3" s="1"/>
  <c r="C10" i="3"/>
  <c r="AJ19" i="6"/>
  <c r="K20" i="5"/>
  <c r="X19" i="6"/>
  <c r="V54" i="6"/>
  <c r="I55" i="6"/>
  <c r="J65" i="6"/>
  <c r="W64" i="6"/>
  <c r="AI64" i="6" s="1"/>
  <c r="AE33" i="6"/>
  <c r="V37" i="6"/>
  <c r="I38" i="6"/>
  <c r="H11" i="2"/>
  <c r="U10" i="3"/>
  <c r="AG10" i="3" s="1"/>
  <c r="P36" i="6"/>
  <c r="P19" i="6"/>
  <c r="C20" i="6"/>
  <c r="Q9" i="6"/>
  <c r="AD9" i="6" s="1"/>
  <c r="D10" i="6"/>
  <c r="AI18" i="3"/>
  <c r="AH18" i="3"/>
  <c r="J56" i="5"/>
  <c r="AB18" i="6"/>
  <c r="AC18" i="6"/>
  <c r="L22" i="6"/>
  <c r="B56" i="6"/>
  <c r="O55" i="6"/>
  <c r="Z9" i="6"/>
  <c r="AL9" i="6" s="1"/>
  <c r="M10" i="6"/>
  <c r="AK56" i="3"/>
  <c r="L57" i="2"/>
  <c r="Y56" i="3"/>
  <c r="AJ63" i="3"/>
  <c r="F56" i="2"/>
  <c r="F65" i="5"/>
  <c r="K23" i="6"/>
  <c r="G22" i="2"/>
  <c r="T21" i="3"/>
  <c r="I56" i="2"/>
  <c r="G11" i="2"/>
  <c r="T10" i="3"/>
  <c r="H68" i="2"/>
  <c r="K68" i="3"/>
  <c r="F11" i="5"/>
  <c r="C67" i="6"/>
  <c r="C22" i="2"/>
  <c r="P21" i="3"/>
  <c r="AB21" i="3" s="1"/>
  <c r="J23" i="5"/>
  <c r="L36" i="3"/>
  <c r="AH64" i="3"/>
  <c r="I65" i="2"/>
  <c r="V64" i="3"/>
  <c r="AI64" i="3"/>
  <c r="J65" i="2"/>
  <c r="W64" i="3"/>
  <c r="D11" i="2"/>
  <c r="Q10" i="3"/>
  <c r="W54" i="6"/>
  <c r="AI54" i="6" s="1"/>
  <c r="J55" i="6"/>
  <c r="AB55" i="6"/>
  <c r="C56" i="5"/>
  <c r="AL54" i="6"/>
  <c r="M22" i="6"/>
  <c r="Z21" i="6"/>
  <c r="AF65" i="6"/>
  <c r="G66" i="5"/>
  <c r="H37" i="2"/>
  <c r="G25" i="5"/>
  <c r="E56" i="2"/>
  <c r="E65" i="5"/>
  <c r="R64" i="6"/>
  <c r="AD64" i="6" s="1"/>
  <c r="AF53" i="6"/>
  <c r="G69" i="3"/>
  <c r="AB8" i="3"/>
  <c r="AH54" i="6"/>
  <c r="I55" i="5"/>
  <c r="Y10" i="6"/>
  <c r="L11" i="6"/>
  <c r="F57" i="3"/>
  <c r="S56" i="3"/>
  <c r="AD20" i="6"/>
  <c r="B35" i="3"/>
  <c r="O34" i="3"/>
  <c r="L20" i="2"/>
  <c r="F11" i="2"/>
  <c r="F55" i="6"/>
  <c r="S54" i="6"/>
  <c r="AE54" i="6" s="1"/>
  <c r="R11" i="3"/>
  <c r="E12" i="3"/>
  <c r="E24" i="5"/>
  <c r="I37" i="3"/>
  <c r="O20" i="6"/>
  <c r="B21" i="6"/>
  <c r="C21" i="5"/>
  <c r="K11" i="5"/>
  <c r="V55" i="3"/>
  <c r="AH55" i="3" s="1"/>
  <c r="AI53" i="6"/>
  <c r="J66" i="5"/>
  <c r="M56" i="6"/>
  <c r="Z55" i="6"/>
  <c r="G35" i="2"/>
  <c r="T34" i="3"/>
  <c r="AF34" i="3" s="1"/>
  <c r="F23" i="6"/>
  <c r="H39" i="6"/>
  <c r="T54" i="6"/>
  <c r="G55" i="6"/>
  <c r="C10" i="2"/>
  <c r="AB9" i="3"/>
  <c r="V9" i="3"/>
  <c r="AH9" i="3" s="1"/>
  <c r="I10" i="3"/>
  <c r="S55" i="3"/>
  <c r="AF55" i="3" s="1"/>
  <c r="AK18" i="3"/>
  <c r="AI8" i="3"/>
  <c r="AJ8" i="3"/>
  <c r="R10" i="3"/>
  <c r="AD10" i="3" s="1"/>
  <c r="W21" i="3"/>
  <c r="J22" i="3"/>
  <c r="R19" i="3"/>
  <c r="AD19" i="3" s="1"/>
  <c r="E20" i="3"/>
  <c r="K20" i="3"/>
  <c r="X19" i="3"/>
  <c r="AJ19" i="3" s="1"/>
  <c r="V56" i="3"/>
  <c r="I57" i="3"/>
  <c r="I70" i="3"/>
  <c r="B12" i="6"/>
  <c r="O12" i="6" s="1"/>
  <c r="O11" i="6"/>
  <c r="D35" i="5"/>
  <c r="AC34" i="6"/>
  <c r="O64" i="3"/>
  <c r="B65" i="3"/>
  <c r="C66" i="3"/>
  <c r="P65" i="3"/>
  <c r="H37" i="5"/>
  <c r="U36" i="6"/>
  <c r="AH36" i="6" s="1"/>
  <c r="K10" i="6"/>
  <c r="X9" i="6"/>
  <c r="AJ9" i="6" s="1"/>
  <c r="H11" i="5"/>
  <c r="U11" i="6" s="1"/>
  <c r="AG10" i="6"/>
  <c r="E35" i="5"/>
  <c r="M68" i="3"/>
  <c r="I67" i="6"/>
  <c r="M37" i="5"/>
  <c r="D65" i="6"/>
  <c r="Q64" i="6"/>
  <c r="AF56" i="3"/>
  <c r="G57" i="2"/>
  <c r="T56" i="3"/>
  <c r="J10" i="3"/>
  <c r="W9" i="3"/>
  <c r="I12" i="6"/>
  <c r="C56" i="2"/>
  <c r="B36" i="6"/>
  <c r="O35" i="6"/>
  <c r="AB35" i="6" s="1"/>
  <c r="Z65" i="6"/>
  <c r="AL65" i="6" s="1"/>
  <c r="M66" i="6"/>
  <c r="D35" i="6"/>
  <c r="Q34" i="6"/>
  <c r="U20" i="6"/>
  <c r="H21" i="6"/>
  <c r="J35" i="2"/>
  <c r="AI34" i="3"/>
  <c r="Q20" i="3"/>
  <c r="AC20" i="3" s="1"/>
  <c r="D21" i="3"/>
  <c r="B57" i="3"/>
  <c r="G37" i="3"/>
  <c r="K35" i="2"/>
  <c r="X34" i="3"/>
  <c r="AK34" i="3" s="1"/>
  <c r="S9" i="3"/>
  <c r="AE9" i="3" s="1"/>
  <c r="F10" i="3"/>
  <c r="D56" i="3"/>
  <c r="Q55" i="3"/>
  <c r="AG35" i="6"/>
  <c r="P55" i="3"/>
  <c r="L35" i="6"/>
  <c r="Y34" i="6"/>
  <c r="AK34" i="6" s="1"/>
  <c r="H57" i="5"/>
  <c r="AE21" i="6"/>
  <c r="F22" i="5"/>
  <c r="S22" i="6" s="1"/>
  <c r="P9" i="6"/>
  <c r="C10" i="6"/>
  <c r="M35" i="2"/>
  <c r="AL34" i="3"/>
  <c r="Z34" i="3"/>
  <c r="AM34" i="3" s="1"/>
  <c r="G37" i="6"/>
  <c r="J55" i="3"/>
  <c r="W54" i="3"/>
  <c r="AJ64" i="6"/>
  <c r="K65" i="5"/>
  <c r="X65" i="6" s="1"/>
  <c r="E20" i="2"/>
  <c r="C38" i="6"/>
  <c r="P37" i="6"/>
  <c r="T12" i="6"/>
  <c r="J56" i="2"/>
  <c r="AC35" i="3"/>
  <c r="D36" i="2"/>
  <c r="Q35" i="3"/>
  <c r="X54" i="6"/>
  <c r="R34" i="6"/>
  <c r="AD34" i="6" s="1"/>
  <c r="E35" i="6"/>
  <c r="H56" i="3"/>
  <c r="U55" i="3"/>
  <c r="AG55" i="3" s="1"/>
  <c r="AK64" i="6"/>
  <c r="C57" i="3"/>
  <c r="P56" i="3"/>
  <c r="AB64" i="3"/>
  <c r="C65" i="2"/>
  <c r="M22" i="5"/>
  <c r="R54" i="3"/>
  <c r="E55" i="3"/>
  <c r="AK63" i="3"/>
  <c r="F22" i="2"/>
  <c r="F66" i="6"/>
  <c r="S65" i="6"/>
  <c r="AI53" i="3"/>
  <c r="AJ53" i="3"/>
  <c r="D25" i="2"/>
  <c r="AJ63" i="6"/>
  <c r="D65" i="2"/>
  <c r="AC64" i="3"/>
  <c r="L66" i="2"/>
  <c r="AF10" i="6"/>
  <c r="AK54" i="6"/>
  <c r="L55" i="5"/>
  <c r="J11" i="6"/>
  <c r="AH64" i="6"/>
  <c r="I65" i="5"/>
  <c r="V64" i="6"/>
  <c r="AD64" i="3"/>
  <c r="E65" i="2"/>
  <c r="AE64" i="3"/>
  <c r="R64" i="3"/>
  <c r="K65" i="2"/>
  <c r="X64" i="3"/>
  <c r="AJ64" i="3" s="1"/>
  <c r="AH10" i="6"/>
  <c r="I11" i="5"/>
  <c r="I38" i="5"/>
  <c r="T21" i="6"/>
  <c r="AF21" i="6" s="1"/>
  <c r="G22" i="6"/>
  <c r="AH34" i="3"/>
  <c r="I35" i="2"/>
  <c r="V34" i="3"/>
  <c r="C10" i="5"/>
  <c r="AB9" i="6"/>
  <c r="X55" i="6"/>
  <c r="K56" i="6"/>
  <c r="E37" i="2"/>
  <c r="AC55" i="3"/>
  <c r="D56" i="2"/>
  <c r="X11" i="3"/>
  <c r="K12" i="3"/>
  <c r="E11" i="5"/>
  <c r="R10" i="6"/>
  <c r="AE10" i="6" s="1"/>
  <c r="AB64" i="6"/>
  <c r="C65" i="5"/>
  <c r="P64" i="6"/>
  <c r="L66" i="6"/>
  <c r="Y65" i="6"/>
  <c r="F35" i="3"/>
  <c r="S34" i="3"/>
  <c r="AE34" i="3" s="1"/>
  <c r="AB63" i="3"/>
  <c r="AE53" i="3"/>
  <c r="AD53" i="3"/>
  <c r="L65" i="3"/>
  <c r="Y64" i="3"/>
  <c r="F67" i="3"/>
  <c r="S66" i="3"/>
  <c r="E35" i="3"/>
  <c r="R34" i="3"/>
  <c r="AD34" i="3" s="1"/>
  <c r="L67" i="5"/>
  <c r="S64" i="6"/>
  <c r="AF64" i="6" s="1"/>
  <c r="C56" i="6"/>
  <c r="P55" i="6"/>
  <c r="AC55" i="6" s="1"/>
  <c r="J35" i="3"/>
  <c r="W34" i="3"/>
  <c r="AF8" i="3"/>
  <c r="AD57" i="7" l="1"/>
  <c r="Z23" i="7"/>
  <c r="M24" i="7"/>
  <c r="F38" i="7"/>
  <c r="S37" i="7"/>
  <c r="Z67" i="7"/>
  <c r="AL67" i="7" s="1"/>
  <c r="M68" i="7"/>
  <c r="J57" i="7"/>
  <c r="W57" i="7" s="1"/>
  <c r="AI57" i="7" s="1"/>
  <c r="W56" i="7"/>
  <c r="AI56" i="7" s="1"/>
  <c r="R23" i="7"/>
  <c r="E24" i="7"/>
  <c r="AJ57" i="7"/>
  <c r="AK66" i="7"/>
  <c r="AJ12" i="7"/>
  <c r="AK12" i="7"/>
  <c r="AB36" i="7"/>
  <c r="AH11" i="7"/>
  <c r="G57" i="7"/>
  <c r="T57" i="7" s="1"/>
  <c r="AF57" i="7" s="1"/>
  <c r="T56" i="7"/>
  <c r="AJ11" i="7"/>
  <c r="AK11" i="7"/>
  <c r="X67" i="7"/>
  <c r="K68" i="7"/>
  <c r="AH12" i="7"/>
  <c r="T68" i="7"/>
  <c r="AF68" i="7" s="1"/>
  <c r="G69" i="7"/>
  <c r="AH57" i="7"/>
  <c r="U67" i="7"/>
  <c r="AG67" i="7" s="1"/>
  <c r="H68" i="7"/>
  <c r="J23" i="7"/>
  <c r="W22" i="7"/>
  <c r="C24" i="7"/>
  <c r="P23" i="7"/>
  <c r="G23" i="7"/>
  <c r="T22" i="7"/>
  <c r="AF22" i="7" s="1"/>
  <c r="M38" i="7"/>
  <c r="Z37" i="7"/>
  <c r="AL37" i="7" s="1"/>
  <c r="B68" i="7"/>
  <c r="O67" i="7"/>
  <c r="AF37" i="7"/>
  <c r="AD65" i="7"/>
  <c r="AE65" i="7"/>
  <c r="D68" i="7"/>
  <c r="Q67" i="7"/>
  <c r="AC67" i="7" s="1"/>
  <c r="T38" i="7"/>
  <c r="G39" i="7"/>
  <c r="E67" i="7"/>
  <c r="R66" i="7"/>
  <c r="Y38" i="7"/>
  <c r="L39" i="7"/>
  <c r="R37" i="7"/>
  <c r="E38" i="7"/>
  <c r="U36" i="7"/>
  <c r="H37" i="7"/>
  <c r="J67" i="7"/>
  <c r="W66" i="7"/>
  <c r="AI66" i="7" s="1"/>
  <c r="L57" i="7"/>
  <c r="Y57" i="7" s="1"/>
  <c r="AK57" i="7" s="1"/>
  <c r="Y56" i="7"/>
  <c r="AK56" i="7" s="1"/>
  <c r="I43" i="7"/>
  <c r="V42" i="7"/>
  <c r="O21" i="7"/>
  <c r="AB21" i="7" s="1"/>
  <c r="B22" i="7"/>
  <c r="AG21" i="7"/>
  <c r="AG55" i="7"/>
  <c r="AH55" i="7"/>
  <c r="H23" i="7"/>
  <c r="U22" i="7"/>
  <c r="AG22" i="7" s="1"/>
  <c r="AJ21" i="7"/>
  <c r="L71" i="7"/>
  <c r="Y70" i="7"/>
  <c r="F71" i="7"/>
  <c r="S70" i="7"/>
  <c r="U56" i="7"/>
  <c r="H57" i="7"/>
  <c r="U57" i="7" s="1"/>
  <c r="AG57" i="7" s="1"/>
  <c r="AB56" i="7"/>
  <c r="J37" i="7"/>
  <c r="W36" i="7"/>
  <c r="AI36" i="7" s="1"/>
  <c r="AJ35" i="7"/>
  <c r="AK35" i="7"/>
  <c r="AH21" i="7"/>
  <c r="K23" i="7"/>
  <c r="X22" i="7"/>
  <c r="AJ22" i="7" s="1"/>
  <c r="P67" i="7"/>
  <c r="AB67" i="7" s="1"/>
  <c r="C68" i="7"/>
  <c r="AH66" i="7"/>
  <c r="K37" i="7"/>
  <c r="X36" i="7"/>
  <c r="V22" i="7"/>
  <c r="AH22" i="7" s="1"/>
  <c r="I23" i="7"/>
  <c r="Q21" i="7"/>
  <c r="D22" i="7"/>
  <c r="L24" i="7"/>
  <c r="Y23" i="7"/>
  <c r="O37" i="7"/>
  <c r="B38" i="7"/>
  <c r="AE22" i="7"/>
  <c r="D38" i="7"/>
  <c r="Q37" i="7"/>
  <c r="C38" i="7"/>
  <c r="P37" i="7"/>
  <c r="AB37" i="7" s="1"/>
  <c r="AG35" i="7"/>
  <c r="AH35" i="7"/>
  <c r="F57" i="7"/>
  <c r="S57" i="7" s="1"/>
  <c r="AE57" i="7" s="1"/>
  <c r="S56" i="7"/>
  <c r="AE56" i="7" s="1"/>
  <c r="AB57" i="7"/>
  <c r="AL55" i="7"/>
  <c r="AH56" i="7"/>
  <c r="V67" i="7"/>
  <c r="I68" i="7"/>
  <c r="AJ55" i="7"/>
  <c r="AE36" i="7"/>
  <c r="AC20" i="7"/>
  <c r="AD20" i="7"/>
  <c r="AH37" i="6"/>
  <c r="Y35" i="6"/>
  <c r="AK35" i="6" s="1"/>
  <c r="L36" i="6"/>
  <c r="J11" i="3"/>
  <c r="W10" i="3"/>
  <c r="C11" i="2"/>
  <c r="AB10" i="3"/>
  <c r="J56" i="6"/>
  <c r="W55" i="6"/>
  <c r="AI55" i="6" s="1"/>
  <c r="G23" i="2"/>
  <c r="T22" i="3"/>
  <c r="H12" i="2"/>
  <c r="U11" i="3"/>
  <c r="AG11" i="3" s="1"/>
  <c r="L41" i="5"/>
  <c r="AM19" i="3"/>
  <c r="AL19" i="3"/>
  <c r="Y21" i="3"/>
  <c r="L22" i="3"/>
  <c r="AE19" i="3"/>
  <c r="AF19" i="3"/>
  <c r="AL34" i="6"/>
  <c r="M57" i="2"/>
  <c r="E36" i="3"/>
  <c r="R35" i="3"/>
  <c r="AD35" i="3" s="1"/>
  <c r="G23" i="6"/>
  <c r="T22" i="6"/>
  <c r="AF22" i="6" s="1"/>
  <c r="J12" i="6"/>
  <c r="H57" i="3"/>
  <c r="U57" i="3" s="1"/>
  <c r="U56" i="3"/>
  <c r="AG56" i="3" s="1"/>
  <c r="AI54" i="3"/>
  <c r="AJ54" i="3"/>
  <c r="J36" i="2"/>
  <c r="K11" i="6"/>
  <c r="X10" i="6"/>
  <c r="AJ10" i="6" s="1"/>
  <c r="T55" i="6"/>
  <c r="G56" i="6"/>
  <c r="K12" i="5"/>
  <c r="L21" i="2"/>
  <c r="E66" i="5"/>
  <c r="R65" i="6"/>
  <c r="AB22" i="3"/>
  <c r="C23" i="2"/>
  <c r="P22" i="3"/>
  <c r="L23" i="6"/>
  <c r="J11" i="5"/>
  <c r="M21" i="3"/>
  <c r="Z20" i="3"/>
  <c r="K22" i="2"/>
  <c r="F36" i="2"/>
  <c r="Y20" i="3"/>
  <c r="AK20" i="3" s="1"/>
  <c r="J37" i="6"/>
  <c r="W36" i="6"/>
  <c r="AJ36" i="6" s="1"/>
  <c r="S20" i="3"/>
  <c r="F21" i="3"/>
  <c r="AD11" i="3"/>
  <c r="E12" i="2"/>
  <c r="E12" i="5"/>
  <c r="R11" i="6"/>
  <c r="W10" i="6"/>
  <c r="AI10" i="6" s="1"/>
  <c r="E36" i="6"/>
  <c r="R35" i="6"/>
  <c r="J56" i="3"/>
  <c r="W55" i="3"/>
  <c r="H22" i="6"/>
  <c r="T57" i="3"/>
  <c r="AF54" i="6"/>
  <c r="AK19" i="3"/>
  <c r="K24" i="6"/>
  <c r="I39" i="6"/>
  <c r="V38" i="6"/>
  <c r="C38" i="5"/>
  <c r="C37" i="3"/>
  <c r="G68" i="6"/>
  <c r="Q57" i="6"/>
  <c r="S67" i="3"/>
  <c r="F68" i="3"/>
  <c r="AD10" i="6"/>
  <c r="I39" i="5"/>
  <c r="AK55" i="6"/>
  <c r="L56" i="5"/>
  <c r="F67" i="6"/>
  <c r="G38" i="6"/>
  <c r="T37" i="6"/>
  <c r="AG37" i="6" s="1"/>
  <c r="H38" i="5"/>
  <c r="U37" i="6"/>
  <c r="K21" i="3"/>
  <c r="X20" i="3"/>
  <c r="AJ20" i="3" s="1"/>
  <c r="H40" i="6"/>
  <c r="C22" i="5"/>
  <c r="E57" i="2"/>
  <c r="C68" i="6"/>
  <c r="K67" i="6"/>
  <c r="O11" i="3"/>
  <c r="B12" i="3"/>
  <c r="O12" i="3" s="1"/>
  <c r="Q22" i="6"/>
  <c r="D23" i="6"/>
  <c r="AK64" i="3"/>
  <c r="X12" i="3"/>
  <c r="F23" i="2"/>
  <c r="T36" i="6"/>
  <c r="AF36" i="6" s="1"/>
  <c r="Q56" i="3"/>
  <c r="D57" i="3"/>
  <c r="Q57" i="3" s="1"/>
  <c r="AC64" i="6"/>
  <c r="R20" i="3"/>
  <c r="E21" i="3"/>
  <c r="B36" i="3"/>
  <c r="O35" i="3"/>
  <c r="AB35" i="3" s="1"/>
  <c r="D12" i="2"/>
  <c r="Q11" i="3"/>
  <c r="AE65" i="6"/>
  <c r="F66" i="5"/>
  <c r="K40" i="6"/>
  <c r="B56" i="2"/>
  <c r="O55" i="3"/>
  <c r="AB55" i="3" s="1"/>
  <c r="AL54" i="3"/>
  <c r="AM54" i="3"/>
  <c r="E69" i="6"/>
  <c r="G57" i="5"/>
  <c r="Y65" i="3"/>
  <c r="L66" i="3"/>
  <c r="I12" i="5"/>
  <c r="AH11" i="6"/>
  <c r="S10" i="3"/>
  <c r="F11" i="3"/>
  <c r="Q35" i="6"/>
  <c r="AC35" i="6" s="1"/>
  <c r="D36" i="6"/>
  <c r="D66" i="6"/>
  <c r="Q65" i="6"/>
  <c r="AC65" i="6" s="1"/>
  <c r="B22" i="6"/>
  <c r="O21" i="6"/>
  <c r="G26" i="5"/>
  <c r="F12" i="5"/>
  <c r="AE11" i="6"/>
  <c r="AE64" i="6"/>
  <c r="Q65" i="3"/>
  <c r="D66" i="3"/>
  <c r="H69" i="3"/>
  <c r="U68" i="3"/>
  <c r="D67" i="5"/>
  <c r="Z55" i="3"/>
  <c r="M56" i="3"/>
  <c r="G66" i="2"/>
  <c r="T65" i="3"/>
  <c r="AF65" i="3" s="1"/>
  <c r="AC56" i="3"/>
  <c r="D57" i="2"/>
  <c r="D37" i="2"/>
  <c r="Q36" i="3"/>
  <c r="M67" i="6"/>
  <c r="Z66" i="6"/>
  <c r="M38" i="5"/>
  <c r="J23" i="3"/>
  <c r="W22" i="3"/>
  <c r="F24" i="6"/>
  <c r="J66" i="2"/>
  <c r="W65" i="3"/>
  <c r="AI65" i="3" s="1"/>
  <c r="K69" i="3"/>
  <c r="F57" i="2"/>
  <c r="J57" i="5"/>
  <c r="J66" i="6"/>
  <c r="W65" i="6"/>
  <c r="H69" i="6"/>
  <c r="G25" i="3"/>
  <c r="K39" i="3"/>
  <c r="E23" i="6"/>
  <c r="R22" i="6"/>
  <c r="AD22" i="6" s="1"/>
  <c r="J69" i="3"/>
  <c r="H37" i="3"/>
  <c r="U36" i="3"/>
  <c r="AF11" i="6"/>
  <c r="E56" i="3"/>
  <c r="R55" i="3"/>
  <c r="M36" i="2"/>
  <c r="Z35" i="3"/>
  <c r="AL35" i="3" s="1"/>
  <c r="C67" i="3"/>
  <c r="H38" i="2"/>
  <c r="I56" i="6"/>
  <c r="V55" i="6"/>
  <c r="AH55" i="6" s="1"/>
  <c r="H67" i="5"/>
  <c r="U66" i="6"/>
  <c r="AG66" i="6" s="1"/>
  <c r="E68" i="3"/>
  <c r="AG34" i="3"/>
  <c r="E38" i="2"/>
  <c r="AD54" i="3"/>
  <c r="AE54" i="3"/>
  <c r="J57" i="2"/>
  <c r="K36" i="2"/>
  <c r="X35" i="3"/>
  <c r="B66" i="3"/>
  <c r="O65" i="3"/>
  <c r="I38" i="3"/>
  <c r="L12" i="6"/>
  <c r="Y12" i="6" s="1"/>
  <c r="Y11" i="6"/>
  <c r="H69" i="2"/>
  <c r="AE35" i="6"/>
  <c r="F36" i="5"/>
  <c r="S36" i="6" s="1"/>
  <c r="Y55" i="6"/>
  <c r="D11" i="5"/>
  <c r="C36" i="2"/>
  <c r="H56" i="6"/>
  <c r="U55" i="6"/>
  <c r="AG55" i="6" s="1"/>
  <c r="F56" i="5"/>
  <c r="S12" i="6"/>
  <c r="AJ65" i="3"/>
  <c r="K66" i="2"/>
  <c r="X65" i="3"/>
  <c r="L67" i="2"/>
  <c r="M23" i="5"/>
  <c r="C11" i="6"/>
  <c r="P10" i="6"/>
  <c r="AJ34" i="3"/>
  <c r="B37" i="6"/>
  <c r="O36" i="6"/>
  <c r="AB36" i="6" s="1"/>
  <c r="I68" i="6"/>
  <c r="G36" i="2"/>
  <c r="T35" i="3"/>
  <c r="AG35" i="3" s="1"/>
  <c r="G67" i="5"/>
  <c r="I66" i="2"/>
  <c r="V65" i="3"/>
  <c r="AH65" i="3" s="1"/>
  <c r="E56" i="5"/>
  <c r="AD55" i="6"/>
  <c r="R55" i="6"/>
  <c r="AE34" i="6"/>
  <c r="Y56" i="6"/>
  <c r="L57" i="6"/>
  <c r="AB34" i="3"/>
  <c r="AG54" i="6"/>
  <c r="F37" i="6"/>
  <c r="I21" i="6"/>
  <c r="V20" i="6"/>
  <c r="AH20" i="6" s="1"/>
  <c r="W35" i="3"/>
  <c r="AJ35" i="3" s="1"/>
  <c r="J36" i="3"/>
  <c r="K57" i="6"/>
  <c r="G38" i="3"/>
  <c r="M69" i="3"/>
  <c r="E25" i="5"/>
  <c r="I56" i="5"/>
  <c r="Y57" i="3"/>
  <c r="AK57" i="3" s="1"/>
  <c r="Q10" i="6"/>
  <c r="AC10" i="6" s="1"/>
  <c r="D11" i="6"/>
  <c r="K21" i="5"/>
  <c r="X20" i="6"/>
  <c r="AK20" i="6" s="1"/>
  <c r="I22" i="2"/>
  <c r="H21" i="3"/>
  <c r="U20" i="3"/>
  <c r="AG20" i="3"/>
  <c r="H21" i="2"/>
  <c r="L11" i="3"/>
  <c r="Y10" i="3"/>
  <c r="AK10" i="3" s="1"/>
  <c r="K39" i="5"/>
  <c r="X39" i="6" s="1"/>
  <c r="M12" i="3"/>
  <c r="Z12" i="3" s="1"/>
  <c r="Z11" i="3"/>
  <c r="F36" i="3"/>
  <c r="S35" i="3"/>
  <c r="AE35" i="3" s="1"/>
  <c r="AB65" i="3"/>
  <c r="C66" i="2"/>
  <c r="F23" i="5"/>
  <c r="C57" i="2"/>
  <c r="D36" i="5"/>
  <c r="AL55" i="6"/>
  <c r="G12" i="2"/>
  <c r="T11" i="3"/>
  <c r="D39" i="3"/>
  <c r="AI36" i="6"/>
  <c r="J37" i="5"/>
  <c r="AM10" i="3"/>
  <c r="AL10" i="3"/>
  <c r="C57" i="6"/>
  <c r="P56" i="6"/>
  <c r="AC56" i="6" s="1"/>
  <c r="AK65" i="6"/>
  <c r="AD65" i="3"/>
  <c r="E66" i="2"/>
  <c r="R65" i="3"/>
  <c r="AE65" i="3" s="1"/>
  <c r="AC65" i="3"/>
  <c r="D66" i="2"/>
  <c r="P38" i="6"/>
  <c r="C39" i="6"/>
  <c r="E36" i="5"/>
  <c r="M57" i="6"/>
  <c r="Z57" i="6" s="1"/>
  <c r="Z56" i="6"/>
  <c r="M23" i="6"/>
  <c r="Z22" i="6"/>
  <c r="Y36" i="3"/>
  <c r="L37" i="3"/>
  <c r="M11" i="6"/>
  <c r="Z10" i="6"/>
  <c r="AL10" i="6" s="1"/>
  <c r="P20" i="6"/>
  <c r="C21" i="6"/>
  <c r="C11" i="3"/>
  <c r="P10" i="3"/>
  <c r="AC10" i="3" s="1"/>
  <c r="D24" i="5"/>
  <c r="I21" i="5"/>
  <c r="M38" i="3"/>
  <c r="G37" i="5"/>
  <c r="Y66" i="6"/>
  <c r="L67" i="6"/>
  <c r="C11" i="5"/>
  <c r="AB10" i="6"/>
  <c r="AD20" i="3"/>
  <c r="E21" i="2"/>
  <c r="V12" i="6"/>
  <c r="V10" i="3"/>
  <c r="AH10" i="3" s="1"/>
  <c r="I11" i="3"/>
  <c r="J67" i="5"/>
  <c r="J24" i="5"/>
  <c r="I57" i="2"/>
  <c r="V57" i="3" s="1"/>
  <c r="AC19" i="6"/>
  <c r="AB19" i="6"/>
  <c r="V20" i="3"/>
  <c r="I21" i="3"/>
  <c r="O65" i="6"/>
  <c r="B66" i="6"/>
  <c r="M22" i="2"/>
  <c r="L68" i="5"/>
  <c r="D26" i="2"/>
  <c r="P57" i="3"/>
  <c r="D22" i="3"/>
  <c r="Q21" i="3"/>
  <c r="AC21" i="3" s="1"/>
  <c r="V11" i="6"/>
  <c r="I71" i="3"/>
  <c r="F56" i="6"/>
  <c r="S55" i="6"/>
  <c r="AE55" i="6" s="1"/>
  <c r="G70" i="3"/>
  <c r="AB56" i="6"/>
  <c r="C57" i="5"/>
  <c r="AH19" i="3"/>
  <c r="M66" i="2"/>
  <c r="Z65" i="3"/>
  <c r="AL65" i="3" s="1"/>
  <c r="AK9" i="6"/>
  <c r="K56" i="5"/>
  <c r="F68" i="2"/>
  <c r="AI19" i="6"/>
  <c r="L21" i="5"/>
  <c r="Y20" i="6"/>
  <c r="AL20" i="6" s="1"/>
  <c r="O23" i="3"/>
  <c r="B24" i="3"/>
  <c r="AF9" i="3"/>
  <c r="AB65" i="6"/>
  <c r="C66" i="5"/>
  <c r="P65" i="6"/>
  <c r="AH35" i="3"/>
  <c r="I36" i="2"/>
  <c r="V35" i="3"/>
  <c r="I66" i="5"/>
  <c r="V65" i="6"/>
  <c r="AH65" i="6" s="1"/>
  <c r="AJ65" i="6"/>
  <c r="K66" i="5"/>
  <c r="AI9" i="3"/>
  <c r="AJ9" i="3"/>
  <c r="AG11" i="6"/>
  <c r="H12" i="5"/>
  <c r="U12" i="6" s="1"/>
  <c r="F12" i="2"/>
  <c r="O56" i="6"/>
  <c r="B57" i="6"/>
  <c r="O57" i="6" s="1"/>
  <c r="J22" i="2"/>
  <c r="AL66" i="6"/>
  <c r="M67" i="5"/>
  <c r="L36" i="2"/>
  <c r="AK35" i="3"/>
  <c r="W20" i="6"/>
  <c r="AI20" i="6" s="1"/>
  <c r="J21" i="6"/>
  <c r="AG20" i="6"/>
  <c r="H21" i="5"/>
  <c r="Z35" i="6"/>
  <c r="AL35" i="6" s="1"/>
  <c r="M36" i="6"/>
  <c r="J68" i="7" l="1"/>
  <c r="W67" i="7"/>
  <c r="AI67" i="7" s="1"/>
  <c r="T69" i="7"/>
  <c r="AF69" i="7" s="1"/>
  <c r="G70" i="7"/>
  <c r="AJ56" i="7"/>
  <c r="H38" i="7"/>
  <c r="U37" i="7"/>
  <c r="E25" i="7"/>
  <c r="R24" i="7"/>
  <c r="F72" i="7"/>
  <c r="S71" i="7"/>
  <c r="C69" i="7"/>
  <c r="P68" i="7"/>
  <c r="AB68" i="7" s="1"/>
  <c r="V68" i="7"/>
  <c r="AH68" i="7" s="1"/>
  <c r="I69" i="7"/>
  <c r="K24" i="7"/>
  <c r="X23" i="7"/>
  <c r="H24" i="7"/>
  <c r="U23" i="7"/>
  <c r="AG36" i="7"/>
  <c r="AH36" i="7"/>
  <c r="B69" i="7"/>
  <c r="O68" i="7"/>
  <c r="AE23" i="7"/>
  <c r="Y71" i="7"/>
  <c r="L72" i="7"/>
  <c r="AH67" i="7"/>
  <c r="AD37" i="7"/>
  <c r="AK67" i="7"/>
  <c r="K38" i="7"/>
  <c r="X37" i="7"/>
  <c r="AK22" i="7"/>
  <c r="L40" i="7"/>
  <c r="Y39" i="7"/>
  <c r="Z38" i="7"/>
  <c r="AL38" i="7" s="1"/>
  <c r="M39" i="7"/>
  <c r="Z68" i="7"/>
  <c r="AL68" i="7" s="1"/>
  <c r="M69" i="7"/>
  <c r="AJ36" i="7"/>
  <c r="AK36" i="7"/>
  <c r="D69" i="7"/>
  <c r="Q68" i="7"/>
  <c r="AC68" i="7" s="1"/>
  <c r="K69" i="7"/>
  <c r="X68" i="7"/>
  <c r="I44" i="7"/>
  <c r="V43" i="7"/>
  <c r="AL56" i="7"/>
  <c r="O38" i="7"/>
  <c r="B39" i="7"/>
  <c r="W37" i="7"/>
  <c r="AI37" i="7" s="1"/>
  <c r="J38" i="7"/>
  <c r="AD66" i="7"/>
  <c r="AE66" i="7"/>
  <c r="G24" i="7"/>
  <c r="T23" i="7"/>
  <c r="AF23" i="7" s="1"/>
  <c r="AE37" i="7"/>
  <c r="C39" i="7"/>
  <c r="P38" i="7"/>
  <c r="AB38" i="7" s="1"/>
  <c r="AC37" i="7"/>
  <c r="D39" i="7"/>
  <c r="Q38" i="7"/>
  <c r="D23" i="7"/>
  <c r="Q22" i="7"/>
  <c r="AL57" i="7"/>
  <c r="E68" i="7"/>
  <c r="R67" i="7"/>
  <c r="AF56" i="7"/>
  <c r="F39" i="7"/>
  <c r="S38" i="7"/>
  <c r="AE38" i="7" s="1"/>
  <c r="U68" i="7"/>
  <c r="AG68" i="7" s="1"/>
  <c r="H69" i="7"/>
  <c r="AC21" i="7"/>
  <c r="AD21" i="7"/>
  <c r="O22" i="7"/>
  <c r="AB22" i="7" s="1"/>
  <c r="B23" i="7"/>
  <c r="P24" i="7"/>
  <c r="C25" i="7"/>
  <c r="Z24" i="7"/>
  <c r="M25" i="7"/>
  <c r="J24" i="7"/>
  <c r="W23" i="7"/>
  <c r="AI23" i="7" s="1"/>
  <c r="AJ66" i="7"/>
  <c r="E39" i="7"/>
  <c r="R38" i="7"/>
  <c r="AK23" i="7"/>
  <c r="Y24" i="7"/>
  <c r="L25" i="7"/>
  <c r="T39" i="7"/>
  <c r="G40" i="7"/>
  <c r="V23" i="7"/>
  <c r="I24" i="7"/>
  <c r="AG56" i="7"/>
  <c r="AI22" i="7"/>
  <c r="AL23" i="7"/>
  <c r="AJ12" i="3"/>
  <c r="B25" i="3"/>
  <c r="O24" i="3"/>
  <c r="AD35" i="6"/>
  <c r="AI37" i="6"/>
  <c r="J38" i="5"/>
  <c r="AJ37" i="6"/>
  <c r="K22" i="5"/>
  <c r="AJ21" i="6"/>
  <c r="X21" i="6"/>
  <c r="J37" i="3"/>
  <c r="W36" i="3"/>
  <c r="L68" i="2"/>
  <c r="E39" i="2"/>
  <c r="M37" i="2"/>
  <c r="Z36" i="3"/>
  <c r="AM36" i="3" s="1"/>
  <c r="J24" i="3"/>
  <c r="W23" i="3"/>
  <c r="AM55" i="3"/>
  <c r="AL55" i="3"/>
  <c r="Q66" i="6"/>
  <c r="D67" i="6"/>
  <c r="V39" i="6"/>
  <c r="I40" i="6"/>
  <c r="R12" i="6"/>
  <c r="K12" i="6"/>
  <c r="X12" i="6" s="1"/>
  <c r="AK12" i="6" s="1"/>
  <c r="X11" i="6"/>
  <c r="J57" i="6"/>
  <c r="W57" i="6" s="1"/>
  <c r="AI57" i="6" s="1"/>
  <c r="W56" i="6"/>
  <c r="Z56" i="3"/>
  <c r="M57" i="3"/>
  <c r="Z57" i="3" s="1"/>
  <c r="AM57" i="3" s="1"/>
  <c r="AG21" i="6"/>
  <c r="H22" i="5"/>
  <c r="L69" i="5"/>
  <c r="J68" i="5"/>
  <c r="D25" i="5"/>
  <c r="AJ20" i="6"/>
  <c r="G68" i="5"/>
  <c r="H70" i="2"/>
  <c r="AM35" i="3"/>
  <c r="H70" i="6"/>
  <c r="M39" i="5"/>
  <c r="D68" i="5"/>
  <c r="D37" i="6"/>
  <c r="Q36" i="6"/>
  <c r="C23" i="5"/>
  <c r="I40" i="5"/>
  <c r="J37" i="2"/>
  <c r="AB57" i="6"/>
  <c r="I12" i="3"/>
  <c r="V12" i="3" s="1"/>
  <c r="AH12" i="3" s="1"/>
  <c r="V11" i="3"/>
  <c r="AH11" i="3" s="1"/>
  <c r="P39" i="6"/>
  <c r="C40" i="6"/>
  <c r="D40" i="3"/>
  <c r="S36" i="3"/>
  <c r="F37" i="3"/>
  <c r="Q11" i="6"/>
  <c r="AD11" i="6" s="1"/>
  <c r="D12" i="6"/>
  <c r="AI65" i="6"/>
  <c r="B57" i="2"/>
  <c r="O57" i="3" s="1"/>
  <c r="O56" i="3"/>
  <c r="AB56" i="3" s="1"/>
  <c r="F24" i="2"/>
  <c r="K25" i="6"/>
  <c r="L24" i="6"/>
  <c r="AI35" i="3"/>
  <c r="C12" i="2"/>
  <c r="AB11" i="3"/>
  <c r="J12" i="5"/>
  <c r="W21" i="6"/>
  <c r="J22" i="6"/>
  <c r="K67" i="5"/>
  <c r="M23" i="2"/>
  <c r="AM11" i="3"/>
  <c r="V21" i="6"/>
  <c r="AH21" i="6" s="1"/>
  <c r="I22" i="6"/>
  <c r="AK10" i="6"/>
  <c r="K67" i="2"/>
  <c r="X66" i="3"/>
  <c r="AE55" i="3"/>
  <c r="AD55" i="3"/>
  <c r="W66" i="6"/>
  <c r="J67" i="6"/>
  <c r="S11" i="3"/>
  <c r="AE11" i="3" s="1"/>
  <c r="F12" i="3"/>
  <c r="S12" i="3" s="1"/>
  <c r="AE12" i="3" s="1"/>
  <c r="H41" i="6"/>
  <c r="F69" i="3"/>
  <c r="S68" i="3"/>
  <c r="S21" i="3"/>
  <c r="F22" i="3"/>
  <c r="L23" i="3"/>
  <c r="Y22" i="3"/>
  <c r="G26" i="3"/>
  <c r="L22" i="5"/>
  <c r="Y21" i="6"/>
  <c r="AK21" i="6" s="1"/>
  <c r="C12" i="3"/>
  <c r="P11" i="3"/>
  <c r="AC11" i="3" s="1"/>
  <c r="D67" i="2"/>
  <c r="AM12" i="3"/>
  <c r="S37" i="6"/>
  <c r="F38" i="6"/>
  <c r="E69" i="3"/>
  <c r="E57" i="3"/>
  <c r="R57" i="3" s="1"/>
  <c r="R56" i="3"/>
  <c r="Z67" i="6"/>
  <c r="M68" i="6"/>
  <c r="AF10" i="3"/>
  <c r="AE10" i="3"/>
  <c r="K41" i="6"/>
  <c r="X40" i="6"/>
  <c r="AE20" i="3"/>
  <c r="AF20" i="3"/>
  <c r="AB23" i="3"/>
  <c r="C24" i="2"/>
  <c r="P23" i="3"/>
  <c r="AJ10" i="3"/>
  <c r="AI10" i="3"/>
  <c r="G71" i="3"/>
  <c r="E22" i="2"/>
  <c r="C22" i="6"/>
  <c r="P21" i="6"/>
  <c r="T12" i="3"/>
  <c r="AF12" i="3" s="1"/>
  <c r="K40" i="5"/>
  <c r="G37" i="2"/>
  <c r="T36" i="3"/>
  <c r="AG36" i="3" s="1"/>
  <c r="H70" i="3"/>
  <c r="U69" i="3"/>
  <c r="AE66" i="6"/>
  <c r="F67" i="5"/>
  <c r="S67" i="6" s="1"/>
  <c r="J12" i="3"/>
  <c r="W12" i="3" s="1"/>
  <c r="W11" i="3"/>
  <c r="L37" i="2"/>
  <c r="I67" i="5"/>
  <c r="V66" i="6"/>
  <c r="AH66" i="6" s="1"/>
  <c r="B67" i="6"/>
  <c r="O66" i="6"/>
  <c r="AC20" i="6"/>
  <c r="AB20" i="6"/>
  <c r="I57" i="5"/>
  <c r="AF35" i="3"/>
  <c r="AE56" i="6"/>
  <c r="F57" i="5"/>
  <c r="I39" i="3"/>
  <c r="H68" i="5"/>
  <c r="U67" i="6"/>
  <c r="AG67" i="6" s="1"/>
  <c r="AC37" i="3"/>
  <c r="D38" i="2"/>
  <c r="Q37" i="3"/>
  <c r="D67" i="3"/>
  <c r="Q66" i="3"/>
  <c r="AC66" i="3" s="1"/>
  <c r="AH12" i="6"/>
  <c r="Q23" i="6"/>
  <c r="D24" i="6"/>
  <c r="X21" i="3"/>
  <c r="AJ21" i="3" s="1"/>
  <c r="K22" i="3"/>
  <c r="W37" i="6"/>
  <c r="J38" i="6"/>
  <c r="AG57" i="3"/>
  <c r="Y36" i="6"/>
  <c r="AK36" i="6" s="1"/>
  <c r="L37" i="6"/>
  <c r="AL67" i="6"/>
  <c r="M68" i="5"/>
  <c r="F69" i="2"/>
  <c r="S56" i="6"/>
  <c r="F57" i="6"/>
  <c r="S57" i="6" s="1"/>
  <c r="R12" i="3"/>
  <c r="AD12" i="3" s="1"/>
  <c r="I69" i="6"/>
  <c r="U37" i="3"/>
  <c r="H38" i="3"/>
  <c r="Y66" i="3"/>
  <c r="L67" i="3"/>
  <c r="T68" i="6"/>
  <c r="G69" i="6"/>
  <c r="H23" i="6"/>
  <c r="E67" i="5"/>
  <c r="R66" i="6"/>
  <c r="AD66" i="6" s="1"/>
  <c r="W11" i="6"/>
  <c r="AI11" i="6" s="1"/>
  <c r="L42" i="5"/>
  <c r="V21" i="3"/>
  <c r="I22" i="3"/>
  <c r="C12" i="5"/>
  <c r="Z11" i="6"/>
  <c r="AL11" i="6" s="1"/>
  <c r="M12" i="6"/>
  <c r="Z12" i="6" s="1"/>
  <c r="AL12" i="6" s="1"/>
  <c r="E67" i="2"/>
  <c r="R66" i="3"/>
  <c r="AD66" i="3" s="1"/>
  <c r="Y11" i="3"/>
  <c r="AK11" i="3" s="1"/>
  <c r="L12" i="3"/>
  <c r="Y12" i="3" s="1"/>
  <c r="AK12" i="3" s="1"/>
  <c r="E26" i="5"/>
  <c r="Y57" i="6"/>
  <c r="B67" i="3"/>
  <c r="O66" i="3"/>
  <c r="K70" i="3"/>
  <c r="AC57" i="3"/>
  <c r="AK65" i="3"/>
  <c r="T67" i="6"/>
  <c r="U21" i="6"/>
  <c r="AD65" i="6"/>
  <c r="W12" i="6"/>
  <c r="AJ12" i="6" s="1"/>
  <c r="AG36" i="6"/>
  <c r="J23" i="2"/>
  <c r="I37" i="2"/>
  <c r="V36" i="3"/>
  <c r="AI36" i="3" s="1"/>
  <c r="AJ55" i="6"/>
  <c r="I72" i="3"/>
  <c r="AH20" i="3"/>
  <c r="AI20" i="3"/>
  <c r="Y67" i="6"/>
  <c r="L68" i="6"/>
  <c r="L38" i="3"/>
  <c r="Y37" i="3"/>
  <c r="AC36" i="6"/>
  <c r="D37" i="5"/>
  <c r="AG21" i="3"/>
  <c r="H22" i="2"/>
  <c r="H57" i="6"/>
  <c r="U57" i="6" s="1"/>
  <c r="AG57" i="6" s="1"/>
  <c r="U56" i="6"/>
  <c r="I57" i="6"/>
  <c r="V57" i="6" s="1"/>
  <c r="V56" i="6"/>
  <c r="AH56" i="6" s="1"/>
  <c r="J70" i="3"/>
  <c r="Q12" i="3"/>
  <c r="H39" i="5"/>
  <c r="U38" i="6"/>
  <c r="AH38" i="6" s="1"/>
  <c r="AI55" i="3"/>
  <c r="AJ55" i="3"/>
  <c r="AE36" i="3"/>
  <c r="F37" i="2"/>
  <c r="AD57" i="3"/>
  <c r="AJ56" i="6"/>
  <c r="K57" i="5"/>
  <c r="AK66" i="6"/>
  <c r="M70" i="3"/>
  <c r="O37" i="6"/>
  <c r="AB37" i="6" s="1"/>
  <c r="B38" i="6"/>
  <c r="C37" i="2"/>
  <c r="H39" i="2"/>
  <c r="AE12" i="6"/>
  <c r="X67" i="6"/>
  <c r="K68" i="6"/>
  <c r="P36" i="3"/>
  <c r="AB36" i="3" s="1"/>
  <c r="J57" i="3"/>
  <c r="W57" i="3" s="1"/>
  <c r="AI57" i="3" s="1"/>
  <c r="W56" i="3"/>
  <c r="AK21" i="3"/>
  <c r="L22" i="2"/>
  <c r="T23" i="6"/>
  <c r="G24" i="6"/>
  <c r="U12" i="3"/>
  <c r="AG12" i="3" s="1"/>
  <c r="G38" i="5"/>
  <c r="AB57" i="3"/>
  <c r="K37" i="2"/>
  <c r="X36" i="3"/>
  <c r="AK36" i="3" s="1"/>
  <c r="R23" i="6"/>
  <c r="E24" i="6"/>
  <c r="J67" i="2"/>
  <c r="W66" i="3"/>
  <c r="AI66" i="3" s="1"/>
  <c r="AG65" i="3"/>
  <c r="O36" i="3"/>
  <c r="B37" i="3"/>
  <c r="X66" i="6"/>
  <c r="AJ66" i="6" s="1"/>
  <c r="G39" i="6"/>
  <c r="P37" i="3"/>
  <c r="C38" i="3"/>
  <c r="K23" i="2"/>
  <c r="C67" i="5"/>
  <c r="P66" i="6"/>
  <c r="AB66" i="6" s="1"/>
  <c r="D23" i="3"/>
  <c r="Q22" i="3"/>
  <c r="AC22" i="3" s="1"/>
  <c r="AH57" i="3"/>
  <c r="Z23" i="6"/>
  <c r="M24" i="6"/>
  <c r="P57" i="6"/>
  <c r="AC57" i="6" s="1"/>
  <c r="U21" i="3"/>
  <c r="H22" i="3"/>
  <c r="G39" i="3"/>
  <c r="AC11" i="6"/>
  <c r="D12" i="5"/>
  <c r="S57" i="3"/>
  <c r="AE57" i="3" s="1"/>
  <c r="G27" i="5"/>
  <c r="E22" i="3"/>
  <c r="R21" i="3"/>
  <c r="AD21" i="3" s="1"/>
  <c r="F68" i="6"/>
  <c r="R36" i="6"/>
  <c r="AD36" i="6" s="1"/>
  <c r="E37" i="6"/>
  <c r="E37" i="3"/>
  <c r="R36" i="3"/>
  <c r="AD36" i="3" s="1"/>
  <c r="Z36" i="6"/>
  <c r="AL36" i="6" s="1"/>
  <c r="M37" i="6"/>
  <c r="AG12" i="6"/>
  <c r="M67" i="2"/>
  <c r="AL66" i="3"/>
  <c r="Z66" i="3"/>
  <c r="AM66" i="3" s="1"/>
  <c r="D27" i="2"/>
  <c r="I22" i="5"/>
  <c r="E37" i="5"/>
  <c r="C67" i="2"/>
  <c r="I67" i="2"/>
  <c r="V66" i="3"/>
  <c r="AH66" i="3" s="1"/>
  <c r="AE36" i="6"/>
  <c r="F37" i="5"/>
  <c r="AM65" i="3"/>
  <c r="AH56" i="3"/>
  <c r="AL56" i="6"/>
  <c r="F24" i="5"/>
  <c r="S24" i="6" s="1"/>
  <c r="I23" i="2"/>
  <c r="E57" i="5"/>
  <c r="R56" i="6"/>
  <c r="AD56" i="6" s="1"/>
  <c r="P11" i="6"/>
  <c r="AB11" i="6" s="1"/>
  <c r="C12" i="6"/>
  <c r="P12" i="6" s="1"/>
  <c r="P66" i="3"/>
  <c r="AB66" i="3" s="1"/>
  <c r="K40" i="3"/>
  <c r="F25" i="6"/>
  <c r="G67" i="2"/>
  <c r="T66" i="3"/>
  <c r="AG66" i="3" s="1"/>
  <c r="C69" i="6"/>
  <c r="S66" i="6"/>
  <c r="AF66" i="6" s="1"/>
  <c r="C39" i="5"/>
  <c r="AM20" i="3"/>
  <c r="AL20" i="3"/>
  <c r="G57" i="6"/>
  <c r="T57" i="6" s="1"/>
  <c r="AF57" i="6" s="1"/>
  <c r="T56" i="6"/>
  <c r="AL57" i="3"/>
  <c r="G24" i="2"/>
  <c r="T23" i="3"/>
  <c r="AF12" i="6"/>
  <c r="J25" i="5"/>
  <c r="M39" i="3"/>
  <c r="AE22" i="6"/>
  <c r="X56" i="6"/>
  <c r="AK56" i="6" s="1"/>
  <c r="M24" i="5"/>
  <c r="C68" i="3"/>
  <c r="P67" i="3"/>
  <c r="S23" i="6"/>
  <c r="AE23" i="6" s="1"/>
  <c r="O22" i="6"/>
  <c r="B23" i="6"/>
  <c r="E70" i="6"/>
  <c r="L57" i="5"/>
  <c r="AL57" i="6" s="1"/>
  <c r="M22" i="3"/>
  <c r="Z21" i="3"/>
  <c r="AF55" i="6"/>
  <c r="AD38" i="7" l="1"/>
  <c r="V69" i="7"/>
  <c r="I70" i="7"/>
  <c r="P69" i="7"/>
  <c r="C70" i="7"/>
  <c r="F40" i="7"/>
  <c r="S39" i="7"/>
  <c r="F73" i="7"/>
  <c r="S72" i="7"/>
  <c r="R39" i="7"/>
  <c r="E40" i="7"/>
  <c r="D70" i="7"/>
  <c r="Q69" i="7"/>
  <c r="AC69" i="7" s="1"/>
  <c r="W38" i="7"/>
  <c r="AI38" i="7" s="1"/>
  <c r="J39" i="7"/>
  <c r="Z39" i="7"/>
  <c r="AL39" i="7" s="1"/>
  <c r="M40" i="7"/>
  <c r="AE24" i="7"/>
  <c r="G41" i="7"/>
  <c r="T40" i="7"/>
  <c r="C40" i="7"/>
  <c r="P39" i="7"/>
  <c r="J25" i="7"/>
  <c r="W24" i="7"/>
  <c r="AI24" i="7" s="1"/>
  <c r="R68" i="7"/>
  <c r="E69" i="7"/>
  <c r="B40" i="7"/>
  <c r="O39" i="7"/>
  <c r="O69" i="7"/>
  <c r="B70" i="7"/>
  <c r="AG37" i="7"/>
  <c r="AH37" i="7"/>
  <c r="G25" i="7"/>
  <c r="T24" i="7"/>
  <c r="AF24" i="7" s="1"/>
  <c r="M26" i="7"/>
  <c r="Z25" i="7"/>
  <c r="Y40" i="7"/>
  <c r="L41" i="7"/>
  <c r="U38" i="7"/>
  <c r="H39" i="7"/>
  <c r="AD67" i="7"/>
  <c r="AE67" i="7"/>
  <c r="Z69" i="7"/>
  <c r="AL69" i="7" s="1"/>
  <c r="M70" i="7"/>
  <c r="C26" i="7"/>
  <c r="P25" i="7"/>
  <c r="Q23" i="7"/>
  <c r="D24" i="7"/>
  <c r="AJ37" i="7"/>
  <c r="AK37" i="7"/>
  <c r="AG23" i="7"/>
  <c r="G71" i="7"/>
  <c r="T70" i="7"/>
  <c r="AF70" i="7" s="1"/>
  <c r="K70" i="7"/>
  <c r="X69" i="7"/>
  <c r="H70" i="7"/>
  <c r="U69" i="7"/>
  <c r="AG69" i="7" s="1"/>
  <c r="AC38" i="7"/>
  <c r="V44" i="7"/>
  <c r="I45" i="7"/>
  <c r="X38" i="7"/>
  <c r="K39" i="7"/>
  <c r="U24" i="7"/>
  <c r="H25" i="7"/>
  <c r="B24" i="7"/>
  <c r="O23" i="7"/>
  <c r="AB23" i="7" s="1"/>
  <c r="AJ23" i="7"/>
  <c r="Y25" i="7"/>
  <c r="L26" i="7"/>
  <c r="Y72" i="7"/>
  <c r="L73" i="7"/>
  <c r="E26" i="7"/>
  <c r="R25" i="7"/>
  <c r="AL24" i="7"/>
  <c r="AC22" i="7"/>
  <c r="AD22" i="7"/>
  <c r="AF38" i="7"/>
  <c r="I25" i="7"/>
  <c r="V24" i="7"/>
  <c r="AH24" i="7" s="1"/>
  <c r="D40" i="7"/>
  <c r="Q39" i="7"/>
  <c r="AC39" i="7" s="1"/>
  <c r="AH23" i="7"/>
  <c r="AK68" i="7"/>
  <c r="AJ67" i="7"/>
  <c r="X24" i="7"/>
  <c r="AJ24" i="7" s="1"/>
  <c r="K25" i="7"/>
  <c r="W68" i="7"/>
  <c r="AI68" i="7" s="1"/>
  <c r="J69" i="7"/>
  <c r="AF67" i="6"/>
  <c r="E71" i="6"/>
  <c r="G68" i="2"/>
  <c r="T67" i="3"/>
  <c r="AF67" i="3" s="1"/>
  <c r="O67" i="3"/>
  <c r="B68" i="3"/>
  <c r="L43" i="5"/>
  <c r="E70" i="3"/>
  <c r="L24" i="3"/>
  <c r="AJ66" i="3"/>
  <c r="AB12" i="3"/>
  <c r="L70" i="5"/>
  <c r="R22" i="3"/>
  <c r="E23" i="3"/>
  <c r="K23" i="5"/>
  <c r="X22" i="6"/>
  <c r="AJ22" i="6" s="1"/>
  <c r="B24" i="6"/>
  <c r="O23" i="6"/>
  <c r="G25" i="2"/>
  <c r="T24" i="3"/>
  <c r="AF66" i="3"/>
  <c r="Q23" i="3"/>
  <c r="AC23" i="3" s="1"/>
  <c r="D24" i="3"/>
  <c r="J68" i="2"/>
  <c r="W67" i="3"/>
  <c r="AI67" i="3" s="1"/>
  <c r="AJ56" i="3"/>
  <c r="AI56" i="3"/>
  <c r="AG56" i="6"/>
  <c r="AH37" i="3"/>
  <c r="I38" i="2"/>
  <c r="V37" i="3"/>
  <c r="AH57" i="6"/>
  <c r="U70" i="3"/>
  <c r="H71" i="3"/>
  <c r="F39" i="6"/>
  <c r="S22" i="3"/>
  <c r="F23" i="3"/>
  <c r="C41" i="6"/>
  <c r="M40" i="5"/>
  <c r="H23" i="5"/>
  <c r="U23" i="6" s="1"/>
  <c r="J39" i="5"/>
  <c r="S25" i="6"/>
  <c r="F26" i="6"/>
  <c r="AH36" i="3"/>
  <c r="C25" i="2"/>
  <c r="P24" i="3"/>
  <c r="AB24" i="3" s="1"/>
  <c r="AE21" i="3"/>
  <c r="AF21" i="3"/>
  <c r="V22" i="6"/>
  <c r="I23" i="6"/>
  <c r="W24" i="3"/>
  <c r="J25" i="3"/>
  <c r="F38" i="5"/>
  <c r="S38" i="6" s="1"/>
  <c r="AL67" i="3"/>
  <c r="M68" i="2"/>
  <c r="Z67" i="3"/>
  <c r="AM67" i="3" s="1"/>
  <c r="AJ57" i="3"/>
  <c r="C68" i="5"/>
  <c r="P67" i="6"/>
  <c r="AB67" i="6" s="1"/>
  <c r="R24" i="6"/>
  <c r="E25" i="6"/>
  <c r="AG22" i="3"/>
  <c r="H23" i="2"/>
  <c r="E27" i="5"/>
  <c r="D68" i="3"/>
  <c r="Q67" i="3"/>
  <c r="AF36" i="3"/>
  <c r="L25" i="6"/>
  <c r="AD23" i="6"/>
  <c r="K69" i="6"/>
  <c r="F38" i="2"/>
  <c r="J24" i="2"/>
  <c r="E68" i="5"/>
  <c r="R67" i="6"/>
  <c r="AE67" i="6" s="1"/>
  <c r="AF37" i="3"/>
  <c r="G38" i="2"/>
  <c r="T37" i="3"/>
  <c r="AL12" i="3"/>
  <c r="F70" i="3"/>
  <c r="S69" i="3"/>
  <c r="AL11" i="3"/>
  <c r="H71" i="6"/>
  <c r="AL56" i="3"/>
  <c r="AM56" i="3"/>
  <c r="M38" i="2"/>
  <c r="Z37" i="3"/>
  <c r="AL37" i="3" s="1"/>
  <c r="C69" i="3"/>
  <c r="AF56" i="6"/>
  <c r="K41" i="3"/>
  <c r="D38" i="5"/>
  <c r="F70" i="2"/>
  <c r="D39" i="2"/>
  <c r="Q38" i="3"/>
  <c r="K41" i="5"/>
  <c r="AC67" i="3"/>
  <c r="D68" i="2"/>
  <c r="H42" i="6"/>
  <c r="K26" i="6"/>
  <c r="AI56" i="6"/>
  <c r="AL36" i="3"/>
  <c r="O25" i="3"/>
  <c r="B26" i="3"/>
  <c r="K68" i="2"/>
  <c r="X67" i="3"/>
  <c r="AJ67" i="3" s="1"/>
  <c r="M25" i="5"/>
  <c r="AH67" i="3"/>
  <c r="I68" i="2"/>
  <c r="V67" i="3"/>
  <c r="Z37" i="6"/>
  <c r="AL37" i="6" s="1"/>
  <c r="M38" i="6"/>
  <c r="K38" i="2"/>
  <c r="X37" i="3"/>
  <c r="H24" i="6"/>
  <c r="M69" i="5"/>
  <c r="B68" i="6"/>
  <c r="O67" i="6"/>
  <c r="M24" i="2"/>
  <c r="F25" i="2"/>
  <c r="J38" i="2"/>
  <c r="H71" i="2"/>
  <c r="AF57" i="3"/>
  <c r="F25" i="5"/>
  <c r="D41" i="3"/>
  <c r="G40" i="3"/>
  <c r="K24" i="2"/>
  <c r="AJ36" i="3"/>
  <c r="AE66" i="3"/>
  <c r="U22" i="6"/>
  <c r="AG22" i="6" s="1"/>
  <c r="K42" i="6"/>
  <c r="X41" i="6"/>
  <c r="AJ11" i="6"/>
  <c r="E40" i="2"/>
  <c r="D69" i="5"/>
  <c r="X57" i="6"/>
  <c r="AJ57" i="6" s="1"/>
  <c r="C39" i="3"/>
  <c r="H40" i="2"/>
  <c r="L39" i="3"/>
  <c r="Y38" i="3"/>
  <c r="AD67" i="3"/>
  <c r="E68" i="2"/>
  <c r="R67" i="3"/>
  <c r="T69" i="6"/>
  <c r="G70" i="6"/>
  <c r="L38" i="6"/>
  <c r="Y37" i="6"/>
  <c r="AK37" i="6" s="1"/>
  <c r="I68" i="5"/>
  <c r="V67" i="6"/>
  <c r="AH67" i="6" s="1"/>
  <c r="P12" i="3"/>
  <c r="AC12" i="3" s="1"/>
  <c r="AC36" i="3"/>
  <c r="Q24" i="6"/>
  <c r="D25" i="6"/>
  <c r="C40" i="5"/>
  <c r="AB67" i="3"/>
  <c r="C68" i="2"/>
  <c r="E38" i="3"/>
  <c r="R37" i="3"/>
  <c r="AD37" i="3" s="1"/>
  <c r="U22" i="3"/>
  <c r="H23" i="3"/>
  <c r="G39" i="5"/>
  <c r="H40" i="5"/>
  <c r="U39" i="6"/>
  <c r="Y68" i="6"/>
  <c r="L69" i="6"/>
  <c r="AC21" i="6"/>
  <c r="AB21" i="6"/>
  <c r="J68" i="6"/>
  <c r="W67" i="6"/>
  <c r="AI67" i="6" s="1"/>
  <c r="K68" i="5"/>
  <c r="I41" i="5"/>
  <c r="G69" i="5"/>
  <c r="L69" i="2"/>
  <c r="AF11" i="3"/>
  <c r="M40" i="3"/>
  <c r="AD57" i="6"/>
  <c r="R57" i="6"/>
  <c r="R37" i="6"/>
  <c r="AE37" i="6" s="1"/>
  <c r="E38" i="6"/>
  <c r="T38" i="6"/>
  <c r="AF37" i="6"/>
  <c r="C38" i="2"/>
  <c r="AB37" i="3"/>
  <c r="AK67" i="6"/>
  <c r="AG68" i="6"/>
  <c r="H69" i="5"/>
  <c r="U68" i="6"/>
  <c r="C23" i="6"/>
  <c r="P22" i="6"/>
  <c r="M69" i="6"/>
  <c r="Z68" i="6"/>
  <c r="AL68" i="6" s="1"/>
  <c r="AL21" i="6"/>
  <c r="AI66" i="6"/>
  <c r="AH39" i="6"/>
  <c r="I70" i="6"/>
  <c r="AL21" i="3"/>
  <c r="AM21" i="3"/>
  <c r="E38" i="5"/>
  <c r="G40" i="6"/>
  <c r="Y67" i="3"/>
  <c r="L68" i="3"/>
  <c r="J39" i="6"/>
  <c r="W38" i="6"/>
  <c r="AJ38" i="6" s="1"/>
  <c r="AK37" i="3"/>
  <c r="L38" i="2"/>
  <c r="E23" i="2"/>
  <c r="AD22" i="3"/>
  <c r="L23" i="5"/>
  <c r="Y22" i="6"/>
  <c r="AK22" i="6" s="1"/>
  <c r="W22" i="6"/>
  <c r="J23" i="6"/>
  <c r="Q12" i="6"/>
  <c r="AC12" i="6" s="1"/>
  <c r="I41" i="6"/>
  <c r="V40" i="6"/>
  <c r="AK22" i="3"/>
  <c r="L23" i="2"/>
  <c r="Z22" i="3"/>
  <c r="M23" i="3"/>
  <c r="I24" i="2"/>
  <c r="B39" i="6"/>
  <c r="O38" i="6"/>
  <c r="AB38" i="6" s="1"/>
  <c r="AB12" i="6"/>
  <c r="AK66" i="3"/>
  <c r="AI11" i="3"/>
  <c r="AJ11" i="3"/>
  <c r="AI21" i="6"/>
  <c r="C24" i="5"/>
  <c r="D26" i="5"/>
  <c r="J38" i="3"/>
  <c r="W37" i="3"/>
  <c r="AI37" i="3" s="1"/>
  <c r="J26" i="5"/>
  <c r="C70" i="6"/>
  <c r="I23" i="5"/>
  <c r="AH22" i="6"/>
  <c r="F69" i="6"/>
  <c r="Z24" i="6"/>
  <c r="M25" i="6"/>
  <c r="O37" i="3"/>
  <c r="B38" i="3"/>
  <c r="T24" i="6"/>
  <c r="AF24" i="6" s="1"/>
  <c r="G25" i="6"/>
  <c r="K71" i="3"/>
  <c r="H39" i="3"/>
  <c r="U38" i="3"/>
  <c r="X22" i="3"/>
  <c r="AJ22" i="3" s="1"/>
  <c r="K23" i="3"/>
  <c r="I40" i="3"/>
  <c r="AI12" i="3"/>
  <c r="AE56" i="3"/>
  <c r="AD56" i="3"/>
  <c r="G27" i="3"/>
  <c r="AK11" i="6"/>
  <c r="AI12" i="6"/>
  <c r="F38" i="3"/>
  <c r="S37" i="3"/>
  <c r="J69" i="5"/>
  <c r="D68" i="6"/>
  <c r="Q67" i="6"/>
  <c r="AH21" i="3"/>
  <c r="AI21" i="3"/>
  <c r="AK57" i="6"/>
  <c r="AF23" i="6"/>
  <c r="M71" i="3"/>
  <c r="J71" i="3"/>
  <c r="I73" i="3"/>
  <c r="I23" i="3"/>
  <c r="V22" i="3"/>
  <c r="AG37" i="3"/>
  <c r="AE57" i="6"/>
  <c r="F68" i="5"/>
  <c r="S68" i="6" s="1"/>
  <c r="G72" i="3"/>
  <c r="Q37" i="6"/>
  <c r="AC37" i="6" s="1"/>
  <c r="D38" i="6"/>
  <c r="AC66" i="6"/>
  <c r="AE67" i="3"/>
  <c r="P26" i="7" l="1"/>
  <c r="C27" i="7"/>
  <c r="P27" i="7" s="1"/>
  <c r="W39" i="7"/>
  <c r="AI39" i="7" s="1"/>
  <c r="J40" i="7"/>
  <c r="AJ68" i="7"/>
  <c r="AK69" i="7"/>
  <c r="U39" i="7"/>
  <c r="H40" i="7"/>
  <c r="R69" i="7"/>
  <c r="E70" i="7"/>
  <c r="R40" i="7"/>
  <c r="E41" i="7"/>
  <c r="AJ38" i="7"/>
  <c r="AK38" i="7"/>
  <c r="R26" i="7"/>
  <c r="E27" i="7"/>
  <c r="R27" i="7" s="1"/>
  <c r="K71" i="7"/>
  <c r="X70" i="7"/>
  <c r="AG38" i="7"/>
  <c r="AH38" i="7"/>
  <c r="AD68" i="7"/>
  <c r="AE68" i="7"/>
  <c r="AD39" i="7"/>
  <c r="O40" i="7"/>
  <c r="B41" i="7"/>
  <c r="J26" i="7"/>
  <c r="W25" i="7"/>
  <c r="AI25" i="7" s="1"/>
  <c r="S73" i="7"/>
  <c r="F74" i="7"/>
  <c r="AE25" i="7"/>
  <c r="X25" i="7"/>
  <c r="K26" i="7"/>
  <c r="AL25" i="7"/>
  <c r="AB39" i="7"/>
  <c r="AE39" i="7"/>
  <c r="W69" i="7"/>
  <c r="AI69" i="7" s="1"/>
  <c r="J70" i="7"/>
  <c r="H71" i="7"/>
  <c r="U70" i="7"/>
  <c r="AG70" i="7" s="1"/>
  <c r="L42" i="7"/>
  <c r="Y41" i="7"/>
  <c r="I26" i="7"/>
  <c r="V25" i="7"/>
  <c r="Z26" i="7"/>
  <c r="M27" i="7"/>
  <c r="Z27" i="7" s="1"/>
  <c r="C41" i="7"/>
  <c r="P40" i="7"/>
  <c r="S40" i="7"/>
  <c r="F41" i="7"/>
  <c r="M71" i="7"/>
  <c r="Z70" i="7"/>
  <c r="AL70" i="7" s="1"/>
  <c r="L74" i="7"/>
  <c r="Y73" i="7"/>
  <c r="AF39" i="7"/>
  <c r="AF40" i="7"/>
  <c r="P70" i="7"/>
  <c r="C71" i="7"/>
  <c r="V45" i="7"/>
  <c r="I46" i="7"/>
  <c r="Q40" i="7"/>
  <c r="D41" i="7"/>
  <c r="T25" i="7"/>
  <c r="AF25" i="7" s="1"/>
  <c r="G26" i="7"/>
  <c r="G42" i="7"/>
  <c r="T41" i="7"/>
  <c r="AB69" i="7"/>
  <c r="AK25" i="7"/>
  <c r="AK24" i="7"/>
  <c r="I71" i="7"/>
  <c r="V70" i="7"/>
  <c r="M41" i="7"/>
  <c r="Z40" i="7"/>
  <c r="AL40" i="7" s="1"/>
  <c r="O70" i="7"/>
  <c r="B71" i="7"/>
  <c r="Q70" i="7"/>
  <c r="D71" i="7"/>
  <c r="Y26" i="7"/>
  <c r="L27" i="7"/>
  <c r="Y27" i="7" s="1"/>
  <c r="T71" i="7"/>
  <c r="AF71" i="7" s="1"/>
  <c r="G72" i="7"/>
  <c r="B25" i="7"/>
  <c r="O24" i="7"/>
  <c r="AB24" i="7" s="1"/>
  <c r="U25" i="7"/>
  <c r="AG25" i="7" s="1"/>
  <c r="H26" i="7"/>
  <c r="AG24" i="7"/>
  <c r="D25" i="7"/>
  <c r="Q24" i="7"/>
  <c r="X39" i="7"/>
  <c r="K40" i="7"/>
  <c r="AC23" i="7"/>
  <c r="AD23" i="7"/>
  <c r="AH69" i="7"/>
  <c r="AF38" i="6"/>
  <c r="J39" i="2"/>
  <c r="M72" i="3"/>
  <c r="AI22" i="6"/>
  <c r="AD37" i="6"/>
  <c r="AG38" i="6"/>
  <c r="I42" i="5"/>
  <c r="G71" i="6"/>
  <c r="AJ37" i="3"/>
  <c r="K27" i="6"/>
  <c r="AI38" i="6"/>
  <c r="O24" i="6"/>
  <c r="B25" i="6"/>
  <c r="F70" i="6"/>
  <c r="O68" i="3"/>
  <c r="B69" i="3"/>
  <c r="D39" i="6"/>
  <c r="Q38" i="6"/>
  <c r="AC38" i="6" s="1"/>
  <c r="AL22" i="6"/>
  <c r="C39" i="2"/>
  <c r="AJ67" i="6"/>
  <c r="R38" i="3"/>
  <c r="AD38" i="3" s="1"/>
  <c r="E39" i="3"/>
  <c r="K43" i="6"/>
  <c r="C70" i="3"/>
  <c r="J26" i="3"/>
  <c r="K24" i="5"/>
  <c r="X23" i="6"/>
  <c r="AK23" i="6" s="1"/>
  <c r="G39" i="2"/>
  <c r="T38" i="3"/>
  <c r="AF38" i="3" s="1"/>
  <c r="I41" i="3"/>
  <c r="L24" i="5"/>
  <c r="Y23" i="6"/>
  <c r="AL23" i="6" s="1"/>
  <c r="I71" i="6"/>
  <c r="K69" i="5"/>
  <c r="C69" i="2"/>
  <c r="AD68" i="3"/>
  <c r="E69" i="2"/>
  <c r="R68" i="3"/>
  <c r="AE68" i="3" s="1"/>
  <c r="AC68" i="3"/>
  <c r="D69" i="2"/>
  <c r="P68" i="3"/>
  <c r="AB68" i="3" s="1"/>
  <c r="M41" i="5"/>
  <c r="G73" i="3"/>
  <c r="I24" i="5"/>
  <c r="F26" i="2"/>
  <c r="I69" i="2"/>
  <c r="V68" i="3"/>
  <c r="AH68" i="3" s="1"/>
  <c r="E69" i="5"/>
  <c r="R68" i="6"/>
  <c r="AD68" i="6" s="1"/>
  <c r="H24" i="2"/>
  <c r="I24" i="6"/>
  <c r="V23" i="6"/>
  <c r="AH23" i="6" s="1"/>
  <c r="E24" i="3"/>
  <c r="R23" i="3"/>
  <c r="AG67" i="3"/>
  <c r="H43" i="6"/>
  <c r="K24" i="3"/>
  <c r="X23" i="3"/>
  <c r="AJ23" i="3" s="1"/>
  <c r="B40" i="6"/>
  <c r="O39" i="6"/>
  <c r="AB39" i="6" s="1"/>
  <c r="E39" i="6"/>
  <c r="R38" i="6"/>
  <c r="AE38" i="6" s="1"/>
  <c r="W68" i="6"/>
  <c r="J69" i="6"/>
  <c r="C41" i="5"/>
  <c r="M25" i="2"/>
  <c r="K42" i="5"/>
  <c r="M39" i="2"/>
  <c r="Z38" i="3"/>
  <c r="AM38" i="3" s="1"/>
  <c r="AD67" i="6"/>
  <c r="P40" i="6"/>
  <c r="AE68" i="6"/>
  <c r="F69" i="5"/>
  <c r="AC67" i="6"/>
  <c r="C71" i="6"/>
  <c r="I25" i="2"/>
  <c r="AD23" i="3"/>
  <c r="E24" i="2"/>
  <c r="L40" i="3"/>
  <c r="K25" i="2"/>
  <c r="M26" i="5"/>
  <c r="AM37" i="3"/>
  <c r="J25" i="2"/>
  <c r="R25" i="6"/>
  <c r="AD25" i="6" s="1"/>
  <c r="E26" i="6"/>
  <c r="P41" i="6"/>
  <c r="C42" i="6"/>
  <c r="J69" i="2"/>
  <c r="W68" i="3"/>
  <c r="AI68" i="3" s="1"/>
  <c r="L71" i="5"/>
  <c r="G69" i="2"/>
  <c r="T68" i="3"/>
  <c r="AF68" i="3" s="1"/>
  <c r="AG68" i="3"/>
  <c r="Q68" i="6"/>
  <c r="D69" i="6"/>
  <c r="AG38" i="3"/>
  <c r="L39" i="2"/>
  <c r="AK38" i="3"/>
  <c r="D26" i="6"/>
  <c r="Q25" i="6"/>
  <c r="H41" i="2"/>
  <c r="AD24" i="6"/>
  <c r="F24" i="3"/>
  <c r="S23" i="3"/>
  <c r="J70" i="5"/>
  <c r="H40" i="3"/>
  <c r="U39" i="3"/>
  <c r="J27" i="5"/>
  <c r="M24" i="3"/>
  <c r="Z23" i="3"/>
  <c r="L70" i="6"/>
  <c r="Y69" i="6"/>
  <c r="AK69" i="6" s="1"/>
  <c r="AE37" i="3"/>
  <c r="AE22" i="3"/>
  <c r="AF22" i="3"/>
  <c r="D25" i="3"/>
  <c r="Q24" i="3"/>
  <c r="AC24" i="3" s="1"/>
  <c r="K72" i="3"/>
  <c r="AL22" i="3"/>
  <c r="AM22" i="3"/>
  <c r="M70" i="6"/>
  <c r="Z69" i="6"/>
  <c r="AL69" i="6" s="1"/>
  <c r="M41" i="3"/>
  <c r="P39" i="3"/>
  <c r="C40" i="3"/>
  <c r="G41" i="3"/>
  <c r="B69" i="6"/>
  <c r="O68" i="6"/>
  <c r="K69" i="2"/>
  <c r="X68" i="3"/>
  <c r="AJ68" i="3" s="1"/>
  <c r="AC39" i="3"/>
  <c r="D40" i="2"/>
  <c r="Q39" i="3"/>
  <c r="AE38" i="3"/>
  <c r="F39" i="2"/>
  <c r="AB68" i="6"/>
  <c r="C69" i="5"/>
  <c r="P68" i="6"/>
  <c r="AB25" i="3"/>
  <c r="C26" i="2"/>
  <c r="P25" i="3"/>
  <c r="E72" i="6"/>
  <c r="D69" i="3"/>
  <c r="Q68" i="3"/>
  <c r="AH22" i="3"/>
  <c r="AI22" i="3"/>
  <c r="J39" i="3"/>
  <c r="W38" i="3"/>
  <c r="AI38" i="3" s="1"/>
  <c r="AK23" i="3"/>
  <c r="L24" i="2"/>
  <c r="W39" i="6"/>
  <c r="AI39" i="6" s="1"/>
  <c r="J40" i="6"/>
  <c r="AB22" i="6"/>
  <c r="AC22" i="6"/>
  <c r="P38" i="3"/>
  <c r="AC38" i="3" s="1"/>
  <c r="M70" i="5"/>
  <c r="F71" i="2"/>
  <c r="K70" i="6"/>
  <c r="X69" i="6"/>
  <c r="S39" i="6"/>
  <c r="F40" i="6"/>
  <c r="Y23" i="3"/>
  <c r="V23" i="3"/>
  <c r="I24" i="3"/>
  <c r="F39" i="3"/>
  <c r="S38" i="3"/>
  <c r="T25" i="6"/>
  <c r="AF25" i="6" s="1"/>
  <c r="G26" i="6"/>
  <c r="D27" i="5"/>
  <c r="Y68" i="3"/>
  <c r="L69" i="3"/>
  <c r="C24" i="6"/>
  <c r="P23" i="6"/>
  <c r="D42" i="3"/>
  <c r="O26" i="3"/>
  <c r="B27" i="3"/>
  <c r="O27" i="3" s="1"/>
  <c r="H72" i="6"/>
  <c r="X68" i="6"/>
  <c r="AJ68" i="6" s="1"/>
  <c r="H72" i="3"/>
  <c r="U71" i="3"/>
  <c r="L25" i="3"/>
  <c r="F39" i="5"/>
  <c r="AK67" i="3"/>
  <c r="L70" i="2"/>
  <c r="H41" i="5"/>
  <c r="U40" i="6"/>
  <c r="AH40" i="6" s="1"/>
  <c r="AH68" i="6"/>
  <c r="I69" i="5"/>
  <c r="V68" i="6"/>
  <c r="D70" i="5"/>
  <c r="AE25" i="6"/>
  <c r="F26" i="5"/>
  <c r="H25" i="6"/>
  <c r="D39" i="5"/>
  <c r="F27" i="6"/>
  <c r="S26" i="6"/>
  <c r="Z38" i="6"/>
  <c r="AL38" i="6" s="1"/>
  <c r="M39" i="6"/>
  <c r="I74" i="3"/>
  <c r="B39" i="3"/>
  <c r="O38" i="3"/>
  <c r="AB38" i="3" s="1"/>
  <c r="C25" i="5"/>
  <c r="V41" i="6"/>
  <c r="I42" i="6"/>
  <c r="G41" i="6"/>
  <c r="H70" i="5"/>
  <c r="U69" i="6"/>
  <c r="AG69" i="6" s="1"/>
  <c r="G40" i="5"/>
  <c r="AE24" i="6"/>
  <c r="L26" i="6"/>
  <c r="AM68" i="3"/>
  <c r="M69" i="2"/>
  <c r="Z68" i="3"/>
  <c r="AL68" i="3" s="1"/>
  <c r="G26" i="2"/>
  <c r="T25" i="3"/>
  <c r="E71" i="3"/>
  <c r="AD12" i="6"/>
  <c r="H24" i="5"/>
  <c r="AG23" i="6"/>
  <c r="T39" i="6"/>
  <c r="AG39" i="6" s="1"/>
  <c r="G70" i="5"/>
  <c r="T70" i="6" s="1"/>
  <c r="E41" i="2"/>
  <c r="S70" i="3"/>
  <c r="F71" i="3"/>
  <c r="J72" i="3"/>
  <c r="Z25" i="6"/>
  <c r="M26" i="6"/>
  <c r="J24" i="6"/>
  <c r="W23" i="6"/>
  <c r="AI23" i="6" s="1"/>
  <c r="E39" i="5"/>
  <c r="AF68" i="6"/>
  <c r="H24" i="3"/>
  <c r="U23" i="3"/>
  <c r="AG23" i="3" s="1"/>
  <c r="Y38" i="6"/>
  <c r="AK38" i="6" s="1"/>
  <c r="L39" i="6"/>
  <c r="H72" i="2"/>
  <c r="AJ38" i="3"/>
  <c r="K39" i="2"/>
  <c r="X38" i="3"/>
  <c r="K42" i="3"/>
  <c r="J40" i="5"/>
  <c r="I39" i="2"/>
  <c r="V38" i="3"/>
  <c r="AH38" i="3" s="1"/>
  <c r="L44" i="5"/>
  <c r="AD40" i="7" l="1"/>
  <c r="R41" i="7"/>
  <c r="E42" i="7"/>
  <c r="AD69" i="7"/>
  <c r="AE69" i="7"/>
  <c r="AG39" i="7"/>
  <c r="AH39" i="7"/>
  <c r="C72" i="7"/>
  <c r="P71" i="7"/>
  <c r="M42" i="7"/>
  <c r="Z41" i="7"/>
  <c r="AL41" i="7" s="1"/>
  <c r="F42" i="7"/>
  <c r="S41" i="7"/>
  <c r="AE41" i="7" s="1"/>
  <c r="AJ69" i="7"/>
  <c r="AJ39" i="7"/>
  <c r="AK39" i="7"/>
  <c r="G27" i="7"/>
  <c r="T27" i="7" s="1"/>
  <c r="AF27" i="7" s="1"/>
  <c r="T26" i="7"/>
  <c r="AF26" i="7" s="1"/>
  <c r="AB40" i="7"/>
  <c r="X26" i="7"/>
  <c r="K27" i="7"/>
  <c r="X27" i="7" s="1"/>
  <c r="L43" i="7"/>
  <c r="Y42" i="7"/>
  <c r="AH70" i="7"/>
  <c r="W70" i="7"/>
  <c r="AI70" i="7" s="1"/>
  <c r="J71" i="7"/>
  <c r="B26" i="7"/>
  <c r="O25" i="7"/>
  <c r="AB25" i="7" s="1"/>
  <c r="P41" i="7"/>
  <c r="AB41" i="7" s="1"/>
  <c r="C42" i="7"/>
  <c r="AJ25" i="7"/>
  <c r="AK70" i="7"/>
  <c r="W40" i="7"/>
  <c r="AI40" i="7" s="1"/>
  <c r="J41" i="7"/>
  <c r="AB70" i="7"/>
  <c r="O41" i="7"/>
  <c r="B42" i="7"/>
  <c r="G43" i="7"/>
  <c r="T42" i="7"/>
  <c r="Q41" i="7"/>
  <c r="D42" i="7"/>
  <c r="K72" i="7"/>
  <c r="X71" i="7"/>
  <c r="H72" i="7"/>
  <c r="U71" i="7"/>
  <c r="AG71" i="7" s="1"/>
  <c r="L75" i="7"/>
  <c r="Y74" i="7"/>
  <c r="AL26" i="7"/>
  <c r="AE27" i="7"/>
  <c r="X40" i="7"/>
  <c r="K41" i="7"/>
  <c r="AC24" i="7"/>
  <c r="AD24" i="7"/>
  <c r="Q25" i="7"/>
  <c r="D26" i="7"/>
  <c r="I72" i="7"/>
  <c r="V71" i="7"/>
  <c r="H27" i="7"/>
  <c r="U27" i="7" s="1"/>
  <c r="AG27" i="7" s="1"/>
  <c r="U26" i="7"/>
  <c r="AG26" i="7" s="1"/>
  <c r="G73" i="7"/>
  <c r="T72" i="7"/>
  <c r="AF72" i="7" s="1"/>
  <c r="S74" i="7"/>
  <c r="F75" i="7"/>
  <c r="W26" i="7"/>
  <c r="J27" i="7"/>
  <c r="W27" i="7" s="1"/>
  <c r="E71" i="7"/>
  <c r="R70" i="7"/>
  <c r="U40" i="7"/>
  <c r="H41" i="7"/>
  <c r="Z71" i="7"/>
  <c r="AL71" i="7" s="1"/>
  <c r="M72" i="7"/>
  <c r="AE40" i="7"/>
  <c r="AK27" i="7"/>
  <c r="AK26" i="7"/>
  <c r="AL27" i="7"/>
  <c r="D72" i="7"/>
  <c r="Q71" i="7"/>
  <c r="AC40" i="7"/>
  <c r="AC70" i="7"/>
  <c r="I47" i="7"/>
  <c r="V47" i="7" s="1"/>
  <c r="V46" i="7"/>
  <c r="AH25" i="7"/>
  <c r="AE26" i="7"/>
  <c r="B72" i="7"/>
  <c r="O71" i="7"/>
  <c r="I27" i="7"/>
  <c r="V27" i="7" s="1"/>
  <c r="V26" i="7"/>
  <c r="S71" i="3"/>
  <c r="F72" i="3"/>
  <c r="Q26" i="6"/>
  <c r="D27" i="6"/>
  <c r="Q27" i="6" s="1"/>
  <c r="C72" i="6"/>
  <c r="C42" i="5"/>
  <c r="I25" i="6"/>
  <c r="V24" i="6"/>
  <c r="L25" i="5"/>
  <c r="Y24" i="6"/>
  <c r="AK24" i="6" s="1"/>
  <c r="E40" i="3"/>
  <c r="R39" i="3"/>
  <c r="AD39" i="3" s="1"/>
  <c r="H73" i="2"/>
  <c r="M70" i="2"/>
  <c r="Z69" i="3"/>
  <c r="AM69" i="3" s="1"/>
  <c r="C26" i="5"/>
  <c r="D71" i="5"/>
  <c r="U72" i="3"/>
  <c r="H73" i="3"/>
  <c r="J41" i="6"/>
  <c r="W40" i="6"/>
  <c r="AI40" i="6" s="1"/>
  <c r="C70" i="5"/>
  <c r="P69" i="6"/>
  <c r="AB69" i="6" s="1"/>
  <c r="AK68" i="6"/>
  <c r="L71" i="6"/>
  <c r="Y70" i="6"/>
  <c r="E27" i="6"/>
  <c r="R27" i="6" s="1"/>
  <c r="AD27" i="6" s="1"/>
  <c r="R26" i="6"/>
  <c r="AD26" i="6" s="1"/>
  <c r="H25" i="2"/>
  <c r="AG24" i="3"/>
  <c r="E42" i="2"/>
  <c r="F40" i="3"/>
  <c r="S39" i="3"/>
  <c r="AE39" i="3" s="1"/>
  <c r="AL23" i="3"/>
  <c r="AM23" i="3"/>
  <c r="L40" i="2"/>
  <c r="J70" i="6"/>
  <c r="W69" i="6"/>
  <c r="D70" i="2"/>
  <c r="I42" i="3"/>
  <c r="L40" i="6"/>
  <c r="Y39" i="6"/>
  <c r="AK39" i="6" s="1"/>
  <c r="B40" i="3"/>
  <c r="O39" i="3"/>
  <c r="H73" i="6"/>
  <c r="I25" i="3"/>
  <c r="V24" i="3"/>
  <c r="L25" i="2"/>
  <c r="F40" i="2"/>
  <c r="M42" i="3"/>
  <c r="Z24" i="3"/>
  <c r="M25" i="3"/>
  <c r="J26" i="2"/>
  <c r="F70" i="5"/>
  <c r="AI68" i="6"/>
  <c r="AB39" i="3"/>
  <c r="C40" i="2"/>
  <c r="G72" i="6"/>
  <c r="L45" i="5"/>
  <c r="G71" i="5"/>
  <c r="I75" i="3"/>
  <c r="I70" i="5"/>
  <c r="V69" i="6"/>
  <c r="AH69" i="6" s="1"/>
  <c r="AI23" i="3"/>
  <c r="AH23" i="3"/>
  <c r="Q69" i="6"/>
  <c r="AC69" i="6" s="1"/>
  <c r="D70" i="6"/>
  <c r="AD69" i="6"/>
  <c r="E70" i="5"/>
  <c r="R69" i="6"/>
  <c r="G40" i="2"/>
  <c r="T39" i="3"/>
  <c r="AF39" i="3" s="1"/>
  <c r="I43" i="5"/>
  <c r="L27" i="6"/>
  <c r="M71" i="6"/>
  <c r="Z70" i="6"/>
  <c r="AL70" i="6" s="1"/>
  <c r="AC68" i="6"/>
  <c r="R39" i="6"/>
  <c r="E40" i="6"/>
  <c r="E70" i="2"/>
  <c r="R69" i="3"/>
  <c r="AE69" i="3" s="1"/>
  <c r="H25" i="3"/>
  <c r="U24" i="3"/>
  <c r="M40" i="6"/>
  <c r="Z39" i="6"/>
  <c r="S40" i="6"/>
  <c r="F41" i="6"/>
  <c r="W39" i="3"/>
  <c r="J40" i="3"/>
  <c r="D41" i="2"/>
  <c r="Q40" i="3"/>
  <c r="AG39" i="3"/>
  <c r="M27" i="5"/>
  <c r="AH39" i="3"/>
  <c r="I40" i="2"/>
  <c r="V39" i="3"/>
  <c r="G41" i="5"/>
  <c r="H42" i="5"/>
  <c r="U41" i="6"/>
  <c r="AH41" i="6" s="1"/>
  <c r="U40" i="3"/>
  <c r="H41" i="3"/>
  <c r="B41" i="6"/>
  <c r="O40" i="6"/>
  <c r="AB40" i="6" s="1"/>
  <c r="C70" i="2"/>
  <c r="K25" i="5"/>
  <c r="X24" i="6"/>
  <c r="Q39" i="6"/>
  <c r="D40" i="6"/>
  <c r="AD38" i="6"/>
  <c r="AF39" i="6"/>
  <c r="D43" i="3"/>
  <c r="K73" i="3"/>
  <c r="J71" i="5"/>
  <c r="G70" i="2"/>
  <c r="T69" i="3"/>
  <c r="AF69" i="3" s="1"/>
  <c r="AG69" i="3"/>
  <c r="M40" i="2"/>
  <c r="Z39" i="3"/>
  <c r="AM39" i="3" s="1"/>
  <c r="I70" i="2"/>
  <c r="V69" i="3"/>
  <c r="AH69" i="3" s="1"/>
  <c r="AJ23" i="6"/>
  <c r="O69" i="3"/>
  <c r="AB69" i="3" s="1"/>
  <c r="B70" i="3"/>
  <c r="AJ39" i="6"/>
  <c r="E40" i="5"/>
  <c r="AD39" i="6"/>
  <c r="H25" i="5"/>
  <c r="L71" i="2"/>
  <c r="AC23" i="6"/>
  <c r="AB23" i="6"/>
  <c r="K71" i="6"/>
  <c r="K70" i="2"/>
  <c r="X69" i="3"/>
  <c r="AJ69" i="3" s="1"/>
  <c r="K26" i="2"/>
  <c r="AL38" i="3"/>
  <c r="K25" i="3"/>
  <c r="X24" i="3"/>
  <c r="AJ24" i="3" s="1"/>
  <c r="AJ69" i="6"/>
  <c r="K70" i="5"/>
  <c r="J27" i="3"/>
  <c r="C25" i="6"/>
  <c r="P24" i="6"/>
  <c r="F72" i="2"/>
  <c r="D70" i="3"/>
  <c r="Q69" i="3"/>
  <c r="AC69" i="3" s="1"/>
  <c r="AE23" i="3"/>
  <c r="AF23" i="3"/>
  <c r="Y40" i="3"/>
  <c r="L41" i="3"/>
  <c r="F27" i="2"/>
  <c r="W25" i="3"/>
  <c r="S70" i="6"/>
  <c r="F71" i="6"/>
  <c r="M73" i="3"/>
  <c r="J41" i="5"/>
  <c r="W24" i="6"/>
  <c r="AI24" i="6" s="1"/>
  <c r="J25" i="6"/>
  <c r="AG70" i="6"/>
  <c r="H71" i="5"/>
  <c r="U70" i="6"/>
  <c r="AC39" i="6"/>
  <c r="D40" i="5"/>
  <c r="Y69" i="3"/>
  <c r="L70" i="3"/>
  <c r="E73" i="6"/>
  <c r="D26" i="3"/>
  <c r="Q25" i="3"/>
  <c r="AC25" i="3" s="1"/>
  <c r="S24" i="3"/>
  <c r="F25" i="3"/>
  <c r="L72" i="5"/>
  <c r="Y39" i="3"/>
  <c r="AK39" i="3" s="1"/>
  <c r="K43" i="5"/>
  <c r="X43" i="6" s="1"/>
  <c r="H44" i="6"/>
  <c r="I25" i="5"/>
  <c r="S69" i="6"/>
  <c r="AF69" i="6" s="1"/>
  <c r="AI39" i="3"/>
  <c r="J40" i="2"/>
  <c r="K43" i="3"/>
  <c r="M27" i="6"/>
  <c r="Z26" i="6"/>
  <c r="E72" i="3"/>
  <c r="T41" i="6"/>
  <c r="G42" i="6"/>
  <c r="AE39" i="6"/>
  <c r="F40" i="5"/>
  <c r="AK68" i="3"/>
  <c r="M71" i="5"/>
  <c r="B70" i="6"/>
  <c r="O69" i="6"/>
  <c r="E25" i="2"/>
  <c r="I72" i="6"/>
  <c r="C71" i="3"/>
  <c r="O25" i="6"/>
  <c r="B26" i="6"/>
  <c r="T40" i="6"/>
  <c r="AF40" i="6" s="1"/>
  <c r="U24" i="6"/>
  <c r="AH24" i="6" s="1"/>
  <c r="G42" i="3"/>
  <c r="J70" i="2"/>
  <c r="W69" i="3"/>
  <c r="AI69" i="3" s="1"/>
  <c r="G74" i="3"/>
  <c r="P69" i="3"/>
  <c r="J73" i="3"/>
  <c r="G27" i="2"/>
  <c r="T26" i="3"/>
  <c r="I43" i="6"/>
  <c r="V42" i="6"/>
  <c r="H26" i="6"/>
  <c r="Y25" i="3"/>
  <c r="L26" i="3"/>
  <c r="AB26" i="3"/>
  <c r="C27" i="2"/>
  <c r="P26" i="3"/>
  <c r="H42" i="2"/>
  <c r="I26" i="2"/>
  <c r="M26" i="2"/>
  <c r="R24" i="3"/>
  <c r="AD24" i="3" s="1"/>
  <c r="E25" i="3"/>
  <c r="X42" i="6"/>
  <c r="K40" i="2"/>
  <c r="X39" i="3"/>
  <c r="AJ39" i="3" s="1"/>
  <c r="F27" i="5"/>
  <c r="Y24" i="3"/>
  <c r="AK24" i="3" s="1"/>
  <c r="T26" i="6"/>
  <c r="AF26" i="6" s="1"/>
  <c r="G27" i="6"/>
  <c r="T27" i="6" s="1"/>
  <c r="C41" i="3"/>
  <c r="C43" i="6"/>
  <c r="M42" i="5"/>
  <c r="K44" i="6"/>
  <c r="H42" i="7" l="1"/>
  <c r="U41" i="7"/>
  <c r="AC25" i="7"/>
  <c r="AD25" i="7"/>
  <c r="AC41" i="7"/>
  <c r="Z42" i="7"/>
  <c r="AL42" i="7" s="1"/>
  <c r="M43" i="7"/>
  <c r="L76" i="7"/>
  <c r="Y75" i="7"/>
  <c r="H73" i="7"/>
  <c r="U72" i="7"/>
  <c r="AG72" i="7" s="1"/>
  <c r="X72" i="7"/>
  <c r="K73" i="7"/>
  <c r="AB71" i="7"/>
  <c r="AJ71" i="7"/>
  <c r="AK71" i="7"/>
  <c r="V72" i="7"/>
  <c r="I73" i="7"/>
  <c r="E72" i="7"/>
  <c r="R71" i="7"/>
  <c r="K42" i="7"/>
  <c r="X41" i="7"/>
  <c r="O42" i="7"/>
  <c r="B43" i="7"/>
  <c r="Y43" i="7"/>
  <c r="L44" i="7"/>
  <c r="C73" i="7"/>
  <c r="P72" i="7"/>
  <c r="AB72" i="7" s="1"/>
  <c r="Z72" i="7"/>
  <c r="AL72" i="7" s="1"/>
  <c r="M73" i="7"/>
  <c r="AG40" i="7"/>
  <c r="AH40" i="7"/>
  <c r="AJ27" i="7"/>
  <c r="AF41" i="7"/>
  <c r="Q42" i="7"/>
  <c r="D43" i="7"/>
  <c r="AI26" i="7"/>
  <c r="AJ26" i="7"/>
  <c r="T73" i="7"/>
  <c r="AF73" i="7" s="1"/>
  <c r="G74" i="7"/>
  <c r="AH27" i="7"/>
  <c r="D27" i="7"/>
  <c r="Q27" i="7" s="1"/>
  <c r="Q26" i="7"/>
  <c r="J42" i="7"/>
  <c r="W41" i="7"/>
  <c r="AI41" i="7" s="1"/>
  <c r="AH71" i="7"/>
  <c r="J72" i="7"/>
  <c r="W71" i="7"/>
  <c r="AI71" i="7" s="1"/>
  <c r="AI27" i="7"/>
  <c r="C43" i="7"/>
  <c r="P42" i="7"/>
  <c r="O26" i="7"/>
  <c r="AB26" i="7" s="1"/>
  <c r="B27" i="7"/>
  <c r="O27" i="7" s="1"/>
  <c r="AB27" i="7" s="1"/>
  <c r="B73" i="7"/>
  <c r="O72" i="7"/>
  <c r="G44" i="7"/>
  <c r="T43" i="7"/>
  <c r="E43" i="7"/>
  <c r="R42" i="7"/>
  <c r="AD42" i="7" s="1"/>
  <c r="AH26" i="7"/>
  <c r="S42" i="7"/>
  <c r="AE42" i="7" s="1"/>
  <c r="F43" i="7"/>
  <c r="AD70" i="7"/>
  <c r="AE70" i="7"/>
  <c r="AJ40" i="7"/>
  <c r="AK40" i="7"/>
  <c r="AC71" i="7"/>
  <c r="F76" i="7"/>
  <c r="S75" i="7"/>
  <c r="D73" i="7"/>
  <c r="Q72" i="7"/>
  <c r="AJ70" i="7"/>
  <c r="AD41" i="7"/>
  <c r="P27" i="3"/>
  <c r="AB27" i="3" s="1"/>
  <c r="E74" i="6"/>
  <c r="W27" i="3"/>
  <c r="K26" i="5"/>
  <c r="X25" i="6"/>
  <c r="AD70" i="3"/>
  <c r="E71" i="2"/>
  <c r="R70" i="3"/>
  <c r="G73" i="6"/>
  <c r="T72" i="6"/>
  <c r="AH24" i="3"/>
  <c r="AI24" i="3"/>
  <c r="F42" i="6"/>
  <c r="AE26" i="6"/>
  <c r="AI70" i="3"/>
  <c r="J71" i="2"/>
  <c r="W70" i="3"/>
  <c r="AJ70" i="3" s="1"/>
  <c r="B71" i="6"/>
  <c r="O70" i="6"/>
  <c r="Y70" i="3"/>
  <c r="AK70" i="3" s="1"/>
  <c r="L71" i="3"/>
  <c r="K71" i="5"/>
  <c r="H26" i="5"/>
  <c r="AJ24" i="6"/>
  <c r="AD69" i="3"/>
  <c r="Q70" i="6"/>
  <c r="AC70" i="6" s="1"/>
  <c r="D71" i="6"/>
  <c r="C41" i="2"/>
  <c r="P41" i="3" s="1"/>
  <c r="V25" i="3"/>
  <c r="I26" i="3"/>
  <c r="J42" i="6"/>
  <c r="W41" i="6"/>
  <c r="AI41" i="6" s="1"/>
  <c r="AK25" i="6"/>
  <c r="L26" i="5"/>
  <c r="AL25" i="6"/>
  <c r="Y25" i="6"/>
  <c r="AL24" i="6"/>
  <c r="L27" i="3"/>
  <c r="M72" i="5"/>
  <c r="AH25" i="6"/>
  <c r="I26" i="5"/>
  <c r="AK69" i="3"/>
  <c r="AG24" i="6"/>
  <c r="G71" i="2"/>
  <c r="T70" i="3"/>
  <c r="AF70" i="3" s="1"/>
  <c r="C71" i="2"/>
  <c r="R40" i="6"/>
  <c r="E41" i="6"/>
  <c r="H74" i="6"/>
  <c r="H74" i="3"/>
  <c r="U73" i="3"/>
  <c r="K41" i="2"/>
  <c r="X40" i="3"/>
  <c r="AJ40" i="3" s="1"/>
  <c r="G43" i="3"/>
  <c r="D41" i="5"/>
  <c r="AC40" i="6"/>
  <c r="S40" i="3"/>
  <c r="AE40" i="3" s="1"/>
  <c r="F41" i="3"/>
  <c r="K45" i="6"/>
  <c r="U25" i="6"/>
  <c r="AG25" i="6" s="1"/>
  <c r="L42" i="3"/>
  <c r="X25" i="3"/>
  <c r="AJ25" i="3" s="1"/>
  <c r="K26" i="3"/>
  <c r="AD40" i="6"/>
  <c r="E41" i="5"/>
  <c r="J72" i="5"/>
  <c r="D42" i="2"/>
  <c r="Q41" i="3"/>
  <c r="F71" i="5"/>
  <c r="E43" i="2"/>
  <c r="V25" i="6"/>
  <c r="I26" i="6"/>
  <c r="H27" i="6"/>
  <c r="U26" i="6"/>
  <c r="F41" i="5"/>
  <c r="AE40" i="6"/>
  <c r="H45" i="6"/>
  <c r="O41" i="6"/>
  <c r="AB41" i="6" s="1"/>
  <c r="B42" i="6"/>
  <c r="AC40" i="3"/>
  <c r="AE69" i="6"/>
  <c r="B41" i="3"/>
  <c r="O40" i="3"/>
  <c r="AB40" i="3" s="1"/>
  <c r="D72" i="5"/>
  <c r="M43" i="5"/>
  <c r="E26" i="3"/>
  <c r="R25" i="3"/>
  <c r="K44" i="5"/>
  <c r="H72" i="5"/>
  <c r="AG71" i="6"/>
  <c r="U71" i="6"/>
  <c r="K27" i="2"/>
  <c r="O70" i="3"/>
  <c r="B71" i="3"/>
  <c r="U41" i="3"/>
  <c r="H42" i="3"/>
  <c r="W40" i="3"/>
  <c r="J41" i="3"/>
  <c r="Z71" i="6"/>
  <c r="M72" i="6"/>
  <c r="C43" i="5"/>
  <c r="V43" i="6"/>
  <c r="I44" i="6"/>
  <c r="T42" i="6"/>
  <c r="G43" i="6"/>
  <c r="K74" i="3"/>
  <c r="AG40" i="3"/>
  <c r="AH70" i="6"/>
  <c r="I71" i="5"/>
  <c r="V70" i="6"/>
  <c r="J27" i="2"/>
  <c r="Y40" i="6"/>
  <c r="AK40" i="6" s="1"/>
  <c r="L41" i="6"/>
  <c r="H26" i="2"/>
  <c r="C27" i="5"/>
  <c r="P42" i="6"/>
  <c r="O26" i="6"/>
  <c r="B27" i="6"/>
  <c r="O27" i="6" s="1"/>
  <c r="J26" i="6"/>
  <c r="W25" i="6"/>
  <c r="AI25" i="6" s="1"/>
  <c r="C73" i="6"/>
  <c r="C44" i="6"/>
  <c r="T27" i="3"/>
  <c r="E73" i="3"/>
  <c r="L73" i="5"/>
  <c r="D71" i="3"/>
  <c r="Q70" i="3"/>
  <c r="AC70" i="3" s="1"/>
  <c r="H43" i="5"/>
  <c r="U42" i="6"/>
  <c r="AH42" i="6" s="1"/>
  <c r="I76" i="3"/>
  <c r="AM24" i="3"/>
  <c r="AL24" i="3"/>
  <c r="I43" i="3"/>
  <c r="M71" i="2"/>
  <c r="Z70" i="3"/>
  <c r="AL70" i="3" s="1"/>
  <c r="D44" i="3"/>
  <c r="M27" i="2"/>
  <c r="P70" i="3"/>
  <c r="AB70" i="3" s="1"/>
  <c r="AJ40" i="6"/>
  <c r="F73" i="2"/>
  <c r="K71" i="2"/>
  <c r="X70" i="3"/>
  <c r="AH70" i="3"/>
  <c r="I71" i="2"/>
  <c r="V70" i="3"/>
  <c r="AG40" i="6"/>
  <c r="AG41" i="6"/>
  <c r="AL39" i="6"/>
  <c r="I44" i="5"/>
  <c r="M43" i="3"/>
  <c r="AL69" i="3"/>
  <c r="P40" i="3"/>
  <c r="I27" i="2"/>
  <c r="J74" i="3"/>
  <c r="C72" i="3"/>
  <c r="P71" i="3"/>
  <c r="S25" i="3"/>
  <c r="F26" i="3"/>
  <c r="J42" i="5"/>
  <c r="AJ41" i="6"/>
  <c r="X70" i="6"/>
  <c r="AK70" i="6" s="1"/>
  <c r="G42" i="5"/>
  <c r="Z40" i="6"/>
  <c r="M41" i="6"/>
  <c r="G72" i="5"/>
  <c r="D71" i="2"/>
  <c r="Y71" i="6"/>
  <c r="AK71" i="6" s="1"/>
  <c r="L72" i="6"/>
  <c r="S72" i="3"/>
  <c r="F73" i="3"/>
  <c r="C42" i="3"/>
  <c r="Z27" i="6"/>
  <c r="AE24" i="3"/>
  <c r="AF24" i="3"/>
  <c r="AC24" i="6"/>
  <c r="AB24" i="6"/>
  <c r="X71" i="6"/>
  <c r="K72" i="6"/>
  <c r="G41" i="2"/>
  <c r="T40" i="3"/>
  <c r="AF40" i="3" s="1"/>
  <c r="AF70" i="6"/>
  <c r="F41" i="2"/>
  <c r="AI69" i="6"/>
  <c r="H74" i="2"/>
  <c r="AF27" i="6"/>
  <c r="I73" i="6"/>
  <c r="M74" i="3"/>
  <c r="C26" i="6"/>
  <c r="P25" i="6"/>
  <c r="AL39" i="3"/>
  <c r="D41" i="6"/>
  <c r="Q40" i="6"/>
  <c r="U25" i="3"/>
  <c r="AG25" i="3" s="1"/>
  <c r="H26" i="3"/>
  <c r="L46" i="5"/>
  <c r="J71" i="6"/>
  <c r="W70" i="6"/>
  <c r="AI70" i="6" s="1"/>
  <c r="H43" i="2"/>
  <c r="AD25" i="3"/>
  <c r="E26" i="2"/>
  <c r="K44" i="3"/>
  <c r="D27" i="3"/>
  <c r="Q27" i="3" s="1"/>
  <c r="AC27" i="3" s="1"/>
  <c r="Q26" i="3"/>
  <c r="AC26" i="3" s="1"/>
  <c r="S27" i="6"/>
  <c r="AE27" i="6" s="1"/>
  <c r="M41" i="2"/>
  <c r="Z40" i="3"/>
  <c r="AM40" i="3" s="1"/>
  <c r="AH40" i="3"/>
  <c r="I41" i="2"/>
  <c r="V40" i="3"/>
  <c r="AI40" i="3" s="1"/>
  <c r="L41" i="2"/>
  <c r="M26" i="3"/>
  <c r="Z25" i="3"/>
  <c r="G75" i="3"/>
  <c r="J41" i="2"/>
  <c r="F72" i="6"/>
  <c r="W26" i="3"/>
  <c r="L72" i="2"/>
  <c r="AD70" i="6"/>
  <c r="E71" i="5"/>
  <c r="R70" i="6"/>
  <c r="AE70" i="6" s="1"/>
  <c r="T71" i="6"/>
  <c r="L26" i="2"/>
  <c r="AK25" i="3"/>
  <c r="AB70" i="6"/>
  <c r="C71" i="5"/>
  <c r="P70" i="6"/>
  <c r="R40" i="3"/>
  <c r="AD40" i="3" s="1"/>
  <c r="E41" i="3"/>
  <c r="AE70" i="3"/>
  <c r="AK72" i="7" l="1"/>
  <c r="D74" i="7"/>
  <c r="Q73" i="7"/>
  <c r="U73" i="7"/>
  <c r="AG73" i="7" s="1"/>
  <c r="H74" i="7"/>
  <c r="AC26" i="7"/>
  <c r="AD26" i="7"/>
  <c r="Y76" i="7"/>
  <c r="L77" i="7"/>
  <c r="Y77" i="7" s="1"/>
  <c r="W72" i="7"/>
  <c r="AI72" i="7" s="1"/>
  <c r="J73" i="7"/>
  <c r="E44" i="7"/>
  <c r="R43" i="7"/>
  <c r="AJ41" i="7"/>
  <c r="AK41" i="7"/>
  <c r="Z43" i="7"/>
  <c r="AL43" i="7" s="1"/>
  <c r="M44" i="7"/>
  <c r="M74" i="7"/>
  <c r="Z73" i="7"/>
  <c r="AL73" i="7" s="1"/>
  <c r="C74" i="7"/>
  <c r="P73" i="7"/>
  <c r="AB73" i="7" s="1"/>
  <c r="AD71" i="7"/>
  <c r="AE71" i="7"/>
  <c r="AC27" i="7"/>
  <c r="AD27" i="7"/>
  <c r="T44" i="7"/>
  <c r="G45" i="7"/>
  <c r="B74" i="7"/>
  <c r="O73" i="7"/>
  <c r="AB42" i="7"/>
  <c r="E73" i="7"/>
  <c r="R72" i="7"/>
  <c r="J43" i="7"/>
  <c r="W42" i="7"/>
  <c r="AI42" i="7" s="1"/>
  <c r="L45" i="7"/>
  <c r="Y44" i="7"/>
  <c r="P43" i="7"/>
  <c r="AB43" i="7" s="1"/>
  <c r="C44" i="7"/>
  <c r="V73" i="7"/>
  <c r="AH73" i="7" s="1"/>
  <c r="I74" i="7"/>
  <c r="F44" i="7"/>
  <c r="S43" i="7"/>
  <c r="AE43" i="7" s="1"/>
  <c r="AC72" i="7"/>
  <c r="T74" i="7"/>
  <c r="AF74" i="7" s="1"/>
  <c r="G75" i="7"/>
  <c r="AG41" i="7"/>
  <c r="AH41" i="7"/>
  <c r="X73" i="7"/>
  <c r="K74" i="7"/>
  <c r="O43" i="7"/>
  <c r="B44" i="7"/>
  <c r="F77" i="7"/>
  <c r="S77" i="7" s="1"/>
  <c r="S76" i="7"/>
  <c r="K43" i="7"/>
  <c r="X42" i="7"/>
  <c r="D44" i="7"/>
  <c r="Q43" i="7"/>
  <c r="AC43" i="7" s="1"/>
  <c r="AC42" i="7"/>
  <c r="AH72" i="7"/>
  <c r="AF42" i="7"/>
  <c r="H43" i="7"/>
  <c r="U42" i="7"/>
  <c r="AB42" i="6"/>
  <c r="AC41" i="3"/>
  <c r="AL25" i="3"/>
  <c r="AM25" i="3"/>
  <c r="E27" i="2"/>
  <c r="G43" i="5"/>
  <c r="C74" i="6"/>
  <c r="F42" i="3"/>
  <c r="S41" i="3"/>
  <c r="AJ70" i="6"/>
  <c r="E72" i="2"/>
  <c r="AE71" i="3"/>
  <c r="R71" i="3"/>
  <c r="AD71" i="3" s="1"/>
  <c r="V44" i="6"/>
  <c r="I45" i="6"/>
  <c r="Z26" i="3"/>
  <c r="M27" i="3"/>
  <c r="Z27" i="3" s="1"/>
  <c r="AL27" i="3" s="1"/>
  <c r="I74" i="6"/>
  <c r="I77" i="3"/>
  <c r="B72" i="3"/>
  <c r="O71" i="3"/>
  <c r="O41" i="3"/>
  <c r="B42" i="3"/>
  <c r="F72" i="5"/>
  <c r="AG70" i="3"/>
  <c r="L27" i="5"/>
  <c r="AK26" i="6"/>
  <c r="AL26" i="6"/>
  <c r="Y26" i="6"/>
  <c r="Y71" i="3"/>
  <c r="L72" i="3"/>
  <c r="H73" i="5"/>
  <c r="U72" i="6"/>
  <c r="AG72" i="6" s="1"/>
  <c r="L27" i="2"/>
  <c r="AK40" i="3"/>
  <c r="H44" i="2"/>
  <c r="M44" i="3"/>
  <c r="W26" i="6"/>
  <c r="AJ26" i="6" s="1"/>
  <c r="J27" i="6"/>
  <c r="W27" i="6" s="1"/>
  <c r="L42" i="2"/>
  <c r="AM27" i="3"/>
  <c r="AG42" i="6"/>
  <c r="K75" i="3"/>
  <c r="D43" i="2"/>
  <c r="Q42" i="3"/>
  <c r="AC42" i="3" s="1"/>
  <c r="AC41" i="6"/>
  <c r="D42" i="5"/>
  <c r="AB27" i="6"/>
  <c r="P42" i="3"/>
  <c r="C43" i="3"/>
  <c r="J43" i="5"/>
  <c r="AJ42" i="6"/>
  <c r="I45" i="5"/>
  <c r="H44" i="5"/>
  <c r="U43" i="6"/>
  <c r="AH43" i="6" s="1"/>
  <c r="B43" i="6"/>
  <c r="O42" i="6"/>
  <c r="G44" i="3"/>
  <c r="G72" i="2"/>
  <c r="T71" i="3"/>
  <c r="AF71" i="3" s="1"/>
  <c r="W42" i="6"/>
  <c r="AI42" i="6" s="1"/>
  <c r="J43" i="6"/>
  <c r="B72" i="6"/>
  <c r="O71" i="6"/>
  <c r="AJ25" i="6"/>
  <c r="E72" i="5"/>
  <c r="R71" i="6"/>
  <c r="I42" i="2"/>
  <c r="V41" i="3"/>
  <c r="AH41" i="3" s="1"/>
  <c r="J72" i="6"/>
  <c r="W71" i="6"/>
  <c r="H75" i="2"/>
  <c r="G44" i="6"/>
  <c r="T43" i="6"/>
  <c r="AG43" i="6" s="1"/>
  <c r="J73" i="5"/>
  <c r="V26" i="3"/>
  <c r="AH26" i="3" s="1"/>
  <c r="I27" i="3"/>
  <c r="V27" i="3" s="1"/>
  <c r="K27" i="5"/>
  <c r="X26" i="6"/>
  <c r="AF25" i="3"/>
  <c r="AE25" i="3"/>
  <c r="L47" i="5"/>
  <c r="F74" i="3"/>
  <c r="S73" i="3"/>
  <c r="S26" i="3"/>
  <c r="F27" i="3"/>
  <c r="S27" i="3" s="1"/>
  <c r="D45" i="3"/>
  <c r="D72" i="3"/>
  <c r="Q71" i="3"/>
  <c r="AC71" i="3" s="1"/>
  <c r="AH25" i="3"/>
  <c r="AI25" i="3"/>
  <c r="AI71" i="3"/>
  <c r="J72" i="2"/>
  <c r="W71" i="3"/>
  <c r="AL40" i="3"/>
  <c r="U26" i="3"/>
  <c r="H27" i="3"/>
  <c r="L73" i="6"/>
  <c r="Y72" i="6"/>
  <c r="AL72" i="6" s="1"/>
  <c r="AG26" i="3"/>
  <c r="H27" i="2"/>
  <c r="K45" i="5"/>
  <c r="I27" i="5"/>
  <c r="AB41" i="3"/>
  <c r="C42" i="2"/>
  <c r="C73" i="3"/>
  <c r="M72" i="2"/>
  <c r="Z71" i="3"/>
  <c r="AL71" i="3" s="1"/>
  <c r="C44" i="5"/>
  <c r="AE41" i="6"/>
  <c r="F42" i="5"/>
  <c r="AF42" i="6" s="1"/>
  <c r="K27" i="3"/>
  <c r="X27" i="3" s="1"/>
  <c r="AJ27" i="3" s="1"/>
  <c r="X26" i="3"/>
  <c r="AJ26" i="3" s="1"/>
  <c r="D72" i="6"/>
  <c r="Q71" i="6"/>
  <c r="AC71" i="6" s="1"/>
  <c r="S41" i="6"/>
  <c r="AF41" i="6" s="1"/>
  <c r="L73" i="2"/>
  <c r="F42" i="2"/>
  <c r="E75" i="6"/>
  <c r="F73" i="6"/>
  <c r="S72" i="6"/>
  <c r="AL41" i="3"/>
  <c r="AM41" i="3"/>
  <c r="M42" i="2"/>
  <c r="Z41" i="3"/>
  <c r="D72" i="2"/>
  <c r="J75" i="3"/>
  <c r="AH71" i="3"/>
  <c r="I72" i="2"/>
  <c r="V71" i="3"/>
  <c r="AM70" i="3"/>
  <c r="E74" i="3"/>
  <c r="L42" i="6"/>
  <c r="Y41" i="6"/>
  <c r="AK41" i="6" s="1"/>
  <c r="U74" i="3"/>
  <c r="H75" i="3"/>
  <c r="M73" i="5"/>
  <c r="F43" i="6"/>
  <c r="S42" i="6"/>
  <c r="K42" i="2"/>
  <c r="X41" i="3"/>
  <c r="S71" i="6"/>
  <c r="AF71" i="6" s="1"/>
  <c r="D42" i="6"/>
  <c r="Q41" i="6"/>
  <c r="G42" i="2"/>
  <c r="T41" i="3"/>
  <c r="AG41" i="3" s="1"/>
  <c r="Z72" i="6"/>
  <c r="M73" i="6"/>
  <c r="R26" i="3"/>
  <c r="AD26" i="3" s="1"/>
  <c r="E27" i="3"/>
  <c r="R27" i="3" s="1"/>
  <c r="Y41" i="3"/>
  <c r="AK41" i="3" s="1"/>
  <c r="AL71" i="6"/>
  <c r="E42" i="3"/>
  <c r="R41" i="3"/>
  <c r="AD41" i="3" s="1"/>
  <c r="J42" i="2"/>
  <c r="AF72" i="6"/>
  <c r="G73" i="5"/>
  <c r="M44" i="5"/>
  <c r="I27" i="6"/>
  <c r="V27" i="6" s="1"/>
  <c r="V26" i="6"/>
  <c r="AH26" i="6" s="1"/>
  <c r="L43" i="3"/>
  <c r="Y42" i="3"/>
  <c r="H75" i="6"/>
  <c r="Y27" i="3"/>
  <c r="L74" i="5"/>
  <c r="AC25" i="6"/>
  <c r="AB25" i="6"/>
  <c r="K73" i="6"/>
  <c r="I44" i="3"/>
  <c r="C45" i="6"/>
  <c r="P44" i="6"/>
  <c r="J42" i="3"/>
  <c r="W41" i="3"/>
  <c r="AJ41" i="3" s="1"/>
  <c r="R41" i="6"/>
  <c r="AD41" i="6" s="1"/>
  <c r="E42" i="6"/>
  <c r="Y26" i="3"/>
  <c r="AK26" i="3" s="1"/>
  <c r="AC27" i="6"/>
  <c r="H46" i="6"/>
  <c r="G76" i="3"/>
  <c r="P26" i="6"/>
  <c r="C27" i="6"/>
  <c r="P27" i="6" s="1"/>
  <c r="M42" i="6"/>
  <c r="Z41" i="6"/>
  <c r="AL41" i="6" s="1"/>
  <c r="K72" i="2"/>
  <c r="X71" i="3"/>
  <c r="AJ71" i="3" s="1"/>
  <c r="P43" i="6"/>
  <c r="E44" i="2"/>
  <c r="X44" i="6"/>
  <c r="H27" i="5"/>
  <c r="AG26" i="6"/>
  <c r="T73" i="6"/>
  <c r="G74" i="6"/>
  <c r="E42" i="5"/>
  <c r="C72" i="5"/>
  <c r="P71" i="6"/>
  <c r="AB71" i="6" s="1"/>
  <c r="K45" i="3"/>
  <c r="M75" i="3"/>
  <c r="AL40" i="6"/>
  <c r="F74" i="2"/>
  <c r="AH71" i="6"/>
  <c r="I72" i="5"/>
  <c r="V71" i="6"/>
  <c r="H43" i="3"/>
  <c r="U42" i="3"/>
  <c r="D73" i="5"/>
  <c r="K46" i="6"/>
  <c r="AB71" i="3"/>
  <c r="C72" i="2"/>
  <c r="P72" i="3" s="1"/>
  <c r="AJ71" i="6"/>
  <c r="K72" i="5"/>
  <c r="W73" i="7" l="1"/>
  <c r="AI73" i="7" s="1"/>
  <c r="J74" i="7"/>
  <c r="U74" i="7"/>
  <c r="AG74" i="7" s="1"/>
  <c r="H75" i="7"/>
  <c r="T45" i="7"/>
  <c r="G46" i="7"/>
  <c r="I75" i="7"/>
  <c r="V74" i="7"/>
  <c r="AH74" i="7" s="1"/>
  <c r="D45" i="7"/>
  <c r="Q44" i="7"/>
  <c r="C45" i="7"/>
  <c r="P44" i="7"/>
  <c r="AB44" i="7" s="1"/>
  <c r="X74" i="7"/>
  <c r="K75" i="7"/>
  <c r="B45" i="7"/>
  <c r="O44" i="7"/>
  <c r="AJ73" i="7"/>
  <c r="AK73" i="7"/>
  <c r="Z44" i="7"/>
  <c r="AL44" i="7" s="1"/>
  <c r="M45" i="7"/>
  <c r="AF43" i="7"/>
  <c r="O74" i="7"/>
  <c r="B75" i="7"/>
  <c r="F45" i="7"/>
  <c r="S44" i="7"/>
  <c r="AE44" i="7" s="1"/>
  <c r="X43" i="7"/>
  <c r="K44" i="7"/>
  <c r="AD72" i="7"/>
  <c r="AE72" i="7"/>
  <c r="AC73" i="7"/>
  <c r="AJ42" i="7"/>
  <c r="AK42" i="7"/>
  <c r="L46" i="7"/>
  <c r="Y45" i="7"/>
  <c r="Q74" i="7"/>
  <c r="D75" i="7"/>
  <c r="E45" i="7"/>
  <c r="R44" i="7"/>
  <c r="P74" i="7"/>
  <c r="AB74" i="7" s="1"/>
  <c r="C75" i="7"/>
  <c r="M75" i="7"/>
  <c r="Z74" i="7"/>
  <c r="AL74" i="7" s="1"/>
  <c r="J44" i="7"/>
  <c r="W43" i="7"/>
  <c r="AI43" i="7" s="1"/>
  <c r="AG42" i="7"/>
  <c r="AH42" i="7"/>
  <c r="R73" i="7"/>
  <c r="E74" i="7"/>
  <c r="U43" i="7"/>
  <c r="H44" i="7"/>
  <c r="G76" i="7"/>
  <c r="T75" i="7"/>
  <c r="AF75" i="7" s="1"/>
  <c r="AD43" i="7"/>
  <c r="AJ72" i="7"/>
  <c r="H44" i="3"/>
  <c r="U43" i="3"/>
  <c r="G75" i="6"/>
  <c r="J43" i="2"/>
  <c r="I73" i="2"/>
  <c r="AH72" i="3"/>
  <c r="V72" i="3"/>
  <c r="L74" i="2"/>
  <c r="X27" i="6"/>
  <c r="AJ27" i="6" s="1"/>
  <c r="E73" i="5"/>
  <c r="R72" i="6"/>
  <c r="AG44" i="6"/>
  <c r="H45" i="5"/>
  <c r="U44" i="6"/>
  <c r="AH44" i="6" s="1"/>
  <c r="K76" i="3"/>
  <c r="L75" i="5"/>
  <c r="AI41" i="3"/>
  <c r="AB42" i="3"/>
  <c r="C43" i="2"/>
  <c r="AD71" i="6"/>
  <c r="H74" i="5"/>
  <c r="U73" i="6"/>
  <c r="AG73" i="6" s="1"/>
  <c r="C75" i="6"/>
  <c r="AH72" i="6"/>
  <c r="I73" i="5"/>
  <c r="V72" i="6"/>
  <c r="H47" i="6"/>
  <c r="I46" i="5"/>
  <c r="I75" i="6"/>
  <c r="G44" i="5"/>
  <c r="E43" i="3"/>
  <c r="R42" i="3"/>
  <c r="AD42" i="3" s="1"/>
  <c r="K43" i="2"/>
  <c r="X42" i="3"/>
  <c r="AJ42" i="3" s="1"/>
  <c r="J76" i="3"/>
  <c r="Y72" i="3"/>
  <c r="L73" i="3"/>
  <c r="F75" i="2"/>
  <c r="H76" i="6"/>
  <c r="D73" i="2"/>
  <c r="D73" i="6"/>
  <c r="Q72" i="6"/>
  <c r="D73" i="3"/>
  <c r="Q72" i="3"/>
  <c r="AC72" i="3" s="1"/>
  <c r="J74" i="5"/>
  <c r="B73" i="6"/>
  <c r="O72" i="6"/>
  <c r="AB72" i="6" s="1"/>
  <c r="AK71" i="3"/>
  <c r="AD27" i="3"/>
  <c r="E45" i="2"/>
  <c r="E43" i="6"/>
  <c r="R42" i="6"/>
  <c r="F44" i="6"/>
  <c r="K46" i="5"/>
  <c r="W43" i="6"/>
  <c r="AI43" i="6" s="1"/>
  <c r="J44" i="6"/>
  <c r="L43" i="2"/>
  <c r="Y43" i="3" s="1"/>
  <c r="AL26" i="3"/>
  <c r="AM26" i="3"/>
  <c r="U27" i="6"/>
  <c r="AG27" i="6" s="1"/>
  <c r="M74" i="5"/>
  <c r="D46" i="3"/>
  <c r="J44" i="5"/>
  <c r="AJ43" i="6"/>
  <c r="I46" i="6"/>
  <c r="V45" i="6"/>
  <c r="K73" i="5"/>
  <c r="X73" i="6" s="1"/>
  <c r="L44" i="3"/>
  <c r="M43" i="2"/>
  <c r="Z42" i="3"/>
  <c r="AM42" i="3" s="1"/>
  <c r="AE42" i="6"/>
  <c r="F43" i="5"/>
  <c r="AG27" i="3"/>
  <c r="AE27" i="3"/>
  <c r="G45" i="6"/>
  <c r="T44" i="6"/>
  <c r="AG71" i="3"/>
  <c r="C44" i="3"/>
  <c r="P43" i="3"/>
  <c r="AI27" i="6"/>
  <c r="M76" i="3"/>
  <c r="J43" i="3"/>
  <c r="W42" i="3"/>
  <c r="AI42" i="3" s="1"/>
  <c r="U75" i="3"/>
  <c r="H76" i="3"/>
  <c r="AE26" i="3"/>
  <c r="AF26" i="3"/>
  <c r="H76" i="2"/>
  <c r="AI26" i="6"/>
  <c r="AK27" i="6"/>
  <c r="Y27" i="6"/>
  <c r="C73" i="2"/>
  <c r="K46" i="3"/>
  <c r="K73" i="2"/>
  <c r="X72" i="3"/>
  <c r="AJ72" i="3" s="1"/>
  <c r="M74" i="6"/>
  <c r="Z73" i="6"/>
  <c r="AL73" i="6" s="1"/>
  <c r="C45" i="5"/>
  <c r="AK72" i="6"/>
  <c r="C46" i="6"/>
  <c r="L74" i="6"/>
  <c r="Y73" i="6"/>
  <c r="F75" i="3"/>
  <c r="S74" i="3"/>
  <c r="AI71" i="6"/>
  <c r="AC42" i="6"/>
  <c r="D43" i="5"/>
  <c r="M45" i="3"/>
  <c r="AE72" i="6"/>
  <c r="F73" i="5"/>
  <c r="E73" i="2"/>
  <c r="R72" i="3"/>
  <c r="AE72" i="3" s="1"/>
  <c r="K47" i="6"/>
  <c r="I45" i="3"/>
  <c r="M45" i="5"/>
  <c r="Y42" i="6"/>
  <c r="AK42" i="6" s="1"/>
  <c r="L43" i="6"/>
  <c r="F74" i="6"/>
  <c r="U27" i="3"/>
  <c r="AH27" i="3" s="1"/>
  <c r="W72" i="6"/>
  <c r="AI72" i="6" s="1"/>
  <c r="J73" i="6"/>
  <c r="H45" i="2"/>
  <c r="AE71" i="6"/>
  <c r="AI26" i="3"/>
  <c r="X45" i="6"/>
  <c r="C73" i="5"/>
  <c r="P72" i="6"/>
  <c r="M43" i="6"/>
  <c r="Z42" i="6"/>
  <c r="AL42" i="6" s="1"/>
  <c r="AI27" i="3"/>
  <c r="G43" i="2"/>
  <c r="T42" i="3"/>
  <c r="AF42" i="3" s="1"/>
  <c r="E76" i="6"/>
  <c r="AM72" i="3"/>
  <c r="AL72" i="3"/>
  <c r="M73" i="2"/>
  <c r="Z72" i="3"/>
  <c r="G45" i="3"/>
  <c r="B43" i="3"/>
  <c r="O42" i="3"/>
  <c r="G73" i="2"/>
  <c r="AF72" i="3"/>
  <c r="T72" i="3"/>
  <c r="AG72" i="3"/>
  <c r="K74" i="6"/>
  <c r="AF41" i="3"/>
  <c r="E75" i="3"/>
  <c r="AM71" i="3"/>
  <c r="D44" i="2"/>
  <c r="Q43" i="3"/>
  <c r="AC43" i="3" s="1"/>
  <c r="AF27" i="3"/>
  <c r="D74" i="5"/>
  <c r="AD42" i="6"/>
  <c r="E43" i="5"/>
  <c r="AC26" i="6"/>
  <c r="AB26" i="6"/>
  <c r="X72" i="6"/>
  <c r="AJ72" i="6" s="1"/>
  <c r="G74" i="5"/>
  <c r="AE41" i="3"/>
  <c r="AH42" i="3"/>
  <c r="I43" i="2"/>
  <c r="V42" i="3"/>
  <c r="B44" i="6"/>
  <c r="O43" i="6"/>
  <c r="AB43" i="6" s="1"/>
  <c r="AK27" i="3"/>
  <c r="F43" i="3"/>
  <c r="S42" i="3"/>
  <c r="AL27" i="6"/>
  <c r="AG42" i="3"/>
  <c r="G77" i="3"/>
  <c r="D43" i="6"/>
  <c r="Q42" i="6"/>
  <c r="AE42" i="3"/>
  <c r="F43" i="2"/>
  <c r="P73" i="3"/>
  <c r="C74" i="3"/>
  <c r="J73" i="2"/>
  <c r="W72" i="3"/>
  <c r="AI72" i="3" s="1"/>
  <c r="O72" i="3"/>
  <c r="AB72" i="3" s="1"/>
  <c r="B73" i="3"/>
  <c r="AD44" i="7" l="1"/>
  <c r="K76" i="7"/>
  <c r="X75" i="7"/>
  <c r="S45" i="7"/>
  <c r="F46" i="7"/>
  <c r="Q45" i="7"/>
  <c r="D46" i="7"/>
  <c r="C46" i="7"/>
  <c r="P45" i="7"/>
  <c r="AB45" i="7" s="1"/>
  <c r="U44" i="7"/>
  <c r="H45" i="7"/>
  <c r="M76" i="7"/>
  <c r="Z75" i="7"/>
  <c r="AL75" i="7" s="1"/>
  <c r="AG43" i="7"/>
  <c r="AH43" i="7"/>
  <c r="R45" i="7"/>
  <c r="AD45" i="7" s="1"/>
  <c r="E46" i="7"/>
  <c r="AK74" i="7"/>
  <c r="AJ43" i="7"/>
  <c r="AK43" i="7"/>
  <c r="U75" i="7"/>
  <c r="AG75" i="7" s="1"/>
  <c r="H76" i="7"/>
  <c r="AF44" i="7"/>
  <c r="AC74" i="7"/>
  <c r="G77" i="7"/>
  <c r="T77" i="7" s="1"/>
  <c r="AF77" i="7" s="1"/>
  <c r="T76" i="7"/>
  <c r="AF76" i="7" s="1"/>
  <c r="Q75" i="7"/>
  <c r="AC75" i="7" s="1"/>
  <c r="D76" i="7"/>
  <c r="W74" i="7"/>
  <c r="AI74" i="7" s="1"/>
  <c r="J75" i="7"/>
  <c r="P75" i="7"/>
  <c r="C76" i="7"/>
  <c r="O75" i="7"/>
  <c r="B76" i="7"/>
  <c r="K45" i="7"/>
  <c r="X44" i="7"/>
  <c r="AC44" i="7"/>
  <c r="I76" i="7"/>
  <c r="V75" i="7"/>
  <c r="AH75" i="7" s="1"/>
  <c r="T46" i="7"/>
  <c r="G47" i="7"/>
  <c r="T47" i="7" s="1"/>
  <c r="R74" i="7"/>
  <c r="E75" i="7"/>
  <c r="Z45" i="7"/>
  <c r="AL45" i="7" s="1"/>
  <c r="M46" i="7"/>
  <c r="AD73" i="7"/>
  <c r="AE73" i="7"/>
  <c r="L47" i="7"/>
  <c r="Y47" i="7" s="1"/>
  <c r="Y46" i="7"/>
  <c r="W44" i="7"/>
  <c r="AI44" i="7" s="1"/>
  <c r="J45" i="7"/>
  <c r="B46" i="7"/>
  <c r="O45" i="7"/>
  <c r="C75" i="3"/>
  <c r="I44" i="2"/>
  <c r="V43" i="3"/>
  <c r="AH43" i="3" s="1"/>
  <c r="M74" i="2"/>
  <c r="Z73" i="3"/>
  <c r="AM73" i="3" s="1"/>
  <c r="D47" i="3"/>
  <c r="E44" i="6"/>
  <c r="R43" i="6"/>
  <c r="AD43" i="6" s="1"/>
  <c r="H77" i="6"/>
  <c r="I76" i="6"/>
  <c r="E76" i="3"/>
  <c r="AD72" i="3"/>
  <c r="C46" i="5"/>
  <c r="F44" i="5"/>
  <c r="F76" i="2"/>
  <c r="F44" i="2"/>
  <c r="H46" i="2"/>
  <c r="E74" i="2"/>
  <c r="R73" i="3"/>
  <c r="M75" i="5"/>
  <c r="E46" i="2"/>
  <c r="I47" i="5"/>
  <c r="L76" i="5"/>
  <c r="G75" i="5"/>
  <c r="E77" i="6"/>
  <c r="W73" i="6"/>
  <c r="J74" i="6"/>
  <c r="F74" i="5"/>
  <c r="H77" i="3"/>
  <c r="U76" i="3"/>
  <c r="L74" i="3"/>
  <c r="Y73" i="3"/>
  <c r="AK73" i="3" s="1"/>
  <c r="I74" i="2"/>
  <c r="V73" i="3"/>
  <c r="AH73" i="3" s="1"/>
  <c r="K75" i="6"/>
  <c r="Z74" i="6"/>
  <c r="AL74" i="6" s="1"/>
  <c r="M75" i="6"/>
  <c r="AL42" i="3"/>
  <c r="AK72" i="3"/>
  <c r="J44" i="2"/>
  <c r="Q43" i="6"/>
  <c r="AC43" i="6" s="1"/>
  <c r="D44" i="6"/>
  <c r="AL43" i="3"/>
  <c r="AM43" i="3"/>
  <c r="M44" i="2"/>
  <c r="Z43" i="3"/>
  <c r="AH27" i="6"/>
  <c r="G44" i="2"/>
  <c r="T43" i="3"/>
  <c r="AF43" i="3" s="1"/>
  <c r="S74" i="6"/>
  <c r="F75" i="6"/>
  <c r="M46" i="3"/>
  <c r="K74" i="2"/>
  <c r="X73" i="3"/>
  <c r="AJ73" i="3" s="1"/>
  <c r="W43" i="3"/>
  <c r="AI43" i="3" s="1"/>
  <c r="J44" i="3"/>
  <c r="B74" i="6"/>
  <c r="O73" i="6"/>
  <c r="J77" i="3"/>
  <c r="K77" i="3"/>
  <c r="T75" i="6"/>
  <c r="G76" i="6"/>
  <c r="S73" i="6"/>
  <c r="AE73" i="6" s="1"/>
  <c r="D44" i="5"/>
  <c r="AK42" i="3"/>
  <c r="J75" i="5"/>
  <c r="AH73" i="6"/>
  <c r="I74" i="5"/>
  <c r="V73" i="6"/>
  <c r="T74" i="6"/>
  <c r="AF74" i="6" s="1"/>
  <c r="E44" i="5"/>
  <c r="Y43" i="6"/>
  <c r="AK43" i="6" s="1"/>
  <c r="L44" i="6"/>
  <c r="K47" i="3"/>
  <c r="M77" i="3"/>
  <c r="L45" i="3"/>
  <c r="AK43" i="3"/>
  <c r="L44" i="2"/>
  <c r="H46" i="5"/>
  <c r="U45" i="6"/>
  <c r="AH45" i="6" s="1"/>
  <c r="AG43" i="3"/>
  <c r="G74" i="2"/>
  <c r="T73" i="3"/>
  <c r="AF73" i="3" s="1"/>
  <c r="AG73" i="3"/>
  <c r="AJ73" i="6"/>
  <c r="K74" i="5"/>
  <c r="W44" i="6"/>
  <c r="AJ44" i="6" s="1"/>
  <c r="J45" i="6"/>
  <c r="C76" i="6"/>
  <c r="U44" i="3"/>
  <c r="H45" i="3"/>
  <c r="D75" i="5"/>
  <c r="Z43" i="6"/>
  <c r="AL43" i="6" s="1"/>
  <c r="M44" i="6"/>
  <c r="M46" i="5"/>
  <c r="AB73" i="3"/>
  <c r="C74" i="2"/>
  <c r="D74" i="3"/>
  <c r="Q73" i="3"/>
  <c r="AD73" i="3" s="1"/>
  <c r="K44" i="2"/>
  <c r="X43" i="3"/>
  <c r="AE73" i="3"/>
  <c r="O73" i="3"/>
  <c r="B74" i="3"/>
  <c r="S43" i="3"/>
  <c r="AE43" i="3" s="1"/>
  <c r="F44" i="3"/>
  <c r="B44" i="3"/>
  <c r="O43" i="3"/>
  <c r="AB43" i="3" s="1"/>
  <c r="F76" i="3"/>
  <c r="S75" i="3"/>
  <c r="C45" i="3"/>
  <c r="P44" i="3"/>
  <c r="K47" i="5"/>
  <c r="AC72" i="6"/>
  <c r="E74" i="5"/>
  <c r="R73" i="6"/>
  <c r="AD73" i="6" s="1"/>
  <c r="G46" i="3"/>
  <c r="AB73" i="6"/>
  <c r="C74" i="5"/>
  <c r="P73" i="6"/>
  <c r="AK73" i="6"/>
  <c r="V46" i="6"/>
  <c r="I47" i="6"/>
  <c r="D74" i="6"/>
  <c r="Q73" i="6"/>
  <c r="R43" i="3"/>
  <c r="AD43" i="3" s="1"/>
  <c r="E44" i="3"/>
  <c r="AD72" i="6"/>
  <c r="I46" i="3"/>
  <c r="Y74" i="6"/>
  <c r="L75" i="6"/>
  <c r="S43" i="6"/>
  <c r="AF43" i="6" s="1"/>
  <c r="AG74" i="6"/>
  <c r="H75" i="5"/>
  <c r="U74" i="6"/>
  <c r="AI73" i="3"/>
  <c r="J74" i="2"/>
  <c r="W73" i="3"/>
  <c r="B45" i="6"/>
  <c r="O44" i="6"/>
  <c r="AB44" i="6" s="1"/>
  <c r="AC44" i="3"/>
  <c r="D45" i="2"/>
  <c r="Q44" i="3"/>
  <c r="X46" i="6"/>
  <c r="P45" i="6"/>
  <c r="G46" i="6"/>
  <c r="AI44" i="6"/>
  <c r="J45" i="5"/>
  <c r="F45" i="6"/>
  <c r="AC73" i="3"/>
  <c r="D74" i="2"/>
  <c r="G45" i="5"/>
  <c r="P46" i="6"/>
  <c r="C47" i="6"/>
  <c r="H77" i="2"/>
  <c r="C44" i="2"/>
  <c r="L75" i="2"/>
  <c r="M47" i="7" l="1"/>
  <c r="Z47" i="7" s="1"/>
  <c r="AL47" i="7" s="1"/>
  <c r="Z46" i="7"/>
  <c r="AL46" i="7" s="1"/>
  <c r="Q76" i="7"/>
  <c r="D77" i="7"/>
  <c r="Q77" i="7" s="1"/>
  <c r="J76" i="7"/>
  <c r="W75" i="7"/>
  <c r="AI75" i="7" s="1"/>
  <c r="AJ44" i="7"/>
  <c r="AK44" i="7"/>
  <c r="J46" i="7"/>
  <c r="W45" i="7"/>
  <c r="AI45" i="7" s="1"/>
  <c r="AD74" i="7"/>
  <c r="AE74" i="7"/>
  <c r="H46" i="7"/>
  <c r="U45" i="7"/>
  <c r="I77" i="7"/>
  <c r="V77" i="7" s="1"/>
  <c r="V76" i="7"/>
  <c r="U76" i="7"/>
  <c r="AG76" i="7" s="1"/>
  <c r="H77" i="7"/>
  <c r="U77" i="7" s="1"/>
  <c r="AG77" i="7" s="1"/>
  <c r="O76" i="7"/>
  <c r="B77" i="7"/>
  <c r="O77" i="7" s="1"/>
  <c r="R75" i="7"/>
  <c r="E76" i="7"/>
  <c r="AG44" i="7"/>
  <c r="AH44" i="7"/>
  <c r="O46" i="7"/>
  <c r="B47" i="7"/>
  <c r="O47" i="7" s="1"/>
  <c r="Z76" i="7"/>
  <c r="AL76" i="7" s="1"/>
  <c r="M77" i="7"/>
  <c r="Z77" i="7" s="1"/>
  <c r="AL77" i="7" s="1"/>
  <c r="E47" i="7"/>
  <c r="R47" i="7" s="1"/>
  <c r="AD47" i="7" s="1"/>
  <c r="R46" i="7"/>
  <c r="AD46" i="7" s="1"/>
  <c r="P46" i="7"/>
  <c r="C47" i="7"/>
  <c r="P47" i="7" s="1"/>
  <c r="Q46" i="7"/>
  <c r="AC46" i="7" s="1"/>
  <c r="D47" i="7"/>
  <c r="Q47" i="7" s="1"/>
  <c r="AC47" i="7" s="1"/>
  <c r="K46" i="7"/>
  <c r="X45" i="7"/>
  <c r="AC45" i="7"/>
  <c r="S46" i="7"/>
  <c r="F47" i="7"/>
  <c r="S47" i="7" s="1"/>
  <c r="AE45" i="7"/>
  <c r="C77" i="7"/>
  <c r="P77" i="7" s="1"/>
  <c r="AB77" i="7" s="1"/>
  <c r="P76" i="7"/>
  <c r="AB76" i="7" s="1"/>
  <c r="AJ74" i="7"/>
  <c r="AJ75" i="7"/>
  <c r="AK75" i="7"/>
  <c r="AB75" i="7"/>
  <c r="AF45" i="7"/>
  <c r="K77" i="7"/>
  <c r="X77" i="7" s="1"/>
  <c r="X76" i="7"/>
  <c r="AH46" i="6"/>
  <c r="AJ43" i="3"/>
  <c r="M47" i="3"/>
  <c r="J75" i="6"/>
  <c r="W74" i="6"/>
  <c r="AI74" i="6" s="1"/>
  <c r="D46" i="2"/>
  <c r="Q45" i="3"/>
  <c r="R44" i="3"/>
  <c r="AD44" i="3" s="1"/>
  <c r="E45" i="3"/>
  <c r="AJ74" i="6"/>
  <c r="K75" i="5"/>
  <c r="F76" i="6"/>
  <c r="AI73" i="6"/>
  <c r="H47" i="2"/>
  <c r="Q74" i="3"/>
  <c r="D75" i="3"/>
  <c r="T76" i="6"/>
  <c r="G77" i="6"/>
  <c r="M76" i="6"/>
  <c r="Z75" i="6"/>
  <c r="X47" i="6"/>
  <c r="AC73" i="6"/>
  <c r="C75" i="2"/>
  <c r="L45" i="6"/>
  <c r="Y44" i="6"/>
  <c r="AK44" i="6" s="1"/>
  <c r="F45" i="2"/>
  <c r="E45" i="6"/>
  <c r="R44" i="6"/>
  <c r="G46" i="5"/>
  <c r="B46" i="6"/>
  <c r="O45" i="6"/>
  <c r="AB45" i="6" s="1"/>
  <c r="D75" i="6"/>
  <c r="Q74" i="6"/>
  <c r="C46" i="3"/>
  <c r="G45" i="2"/>
  <c r="T44" i="3"/>
  <c r="AF44" i="3" s="1"/>
  <c r="X74" i="6"/>
  <c r="AK74" i="6" s="1"/>
  <c r="G76" i="5"/>
  <c r="V47" i="6"/>
  <c r="M47" i="5"/>
  <c r="AF74" i="3"/>
  <c r="G75" i="2"/>
  <c r="T74" i="3"/>
  <c r="AG74" i="3" s="1"/>
  <c r="AD44" i="6"/>
  <c r="E45" i="5"/>
  <c r="K76" i="6"/>
  <c r="X75" i="6"/>
  <c r="F77" i="2"/>
  <c r="D75" i="2"/>
  <c r="J75" i="2"/>
  <c r="W74" i="3"/>
  <c r="AJ74" i="3" s="1"/>
  <c r="S76" i="3"/>
  <c r="F77" i="3"/>
  <c r="S77" i="3" s="1"/>
  <c r="AF73" i="6"/>
  <c r="L77" i="5"/>
  <c r="Z44" i="6"/>
  <c r="M45" i="6"/>
  <c r="F45" i="5"/>
  <c r="AL73" i="3"/>
  <c r="S45" i="6"/>
  <c r="F46" i="6"/>
  <c r="B45" i="3"/>
  <c r="O44" i="3"/>
  <c r="AB44" i="3" s="1"/>
  <c r="AH74" i="3"/>
  <c r="I75" i="2"/>
  <c r="V74" i="3"/>
  <c r="AE43" i="6"/>
  <c r="M75" i="2"/>
  <c r="Z74" i="3"/>
  <c r="AM74" i="3" s="1"/>
  <c r="S44" i="6"/>
  <c r="AF44" i="6" s="1"/>
  <c r="H76" i="5"/>
  <c r="U75" i="6"/>
  <c r="AG75" i="6" s="1"/>
  <c r="C75" i="5"/>
  <c r="P74" i="6"/>
  <c r="AB74" i="6" s="1"/>
  <c r="S44" i="3"/>
  <c r="AE44" i="3" s="1"/>
  <c r="F45" i="3"/>
  <c r="D76" i="5"/>
  <c r="H47" i="5"/>
  <c r="U46" i="6"/>
  <c r="I75" i="5"/>
  <c r="V74" i="6"/>
  <c r="AH74" i="6" s="1"/>
  <c r="O74" i="6"/>
  <c r="B75" i="6"/>
  <c r="AM44" i="3"/>
  <c r="M45" i="2"/>
  <c r="Z44" i="3"/>
  <c r="AL44" i="3" s="1"/>
  <c r="C47" i="5"/>
  <c r="L76" i="2"/>
  <c r="J46" i="5"/>
  <c r="J45" i="3"/>
  <c r="W44" i="3"/>
  <c r="E47" i="2"/>
  <c r="G47" i="3"/>
  <c r="B75" i="3"/>
  <c r="O74" i="3"/>
  <c r="U45" i="3"/>
  <c r="H46" i="3"/>
  <c r="L45" i="2"/>
  <c r="AK44" i="3"/>
  <c r="J76" i="5"/>
  <c r="Y74" i="3"/>
  <c r="AK74" i="3" s="1"/>
  <c r="L75" i="3"/>
  <c r="G47" i="6"/>
  <c r="Y75" i="6"/>
  <c r="AK75" i="6" s="1"/>
  <c r="L76" i="6"/>
  <c r="AG44" i="3"/>
  <c r="Q44" i="6"/>
  <c r="AC44" i="6" s="1"/>
  <c r="D45" i="6"/>
  <c r="M76" i="5"/>
  <c r="AL75" i="6"/>
  <c r="AH44" i="3"/>
  <c r="I45" i="2"/>
  <c r="V44" i="3"/>
  <c r="AI44" i="3" s="1"/>
  <c r="C45" i="2"/>
  <c r="T45" i="6"/>
  <c r="AG45" i="6" s="1"/>
  <c r="C77" i="6"/>
  <c r="L46" i="3"/>
  <c r="K75" i="2"/>
  <c r="X74" i="3"/>
  <c r="U77" i="3"/>
  <c r="E77" i="3"/>
  <c r="P74" i="3"/>
  <c r="AB74" i="3" s="1"/>
  <c r="I47" i="3"/>
  <c r="AD74" i="6"/>
  <c r="E75" i="5"/>
  <c r="R74" i="6"/>
  <c r="Y44" i="3"/>
  <c r="D45" i="5"/>
  <c r="J45" i="2"/>
  <c r="AE74" i="6"/>
  <c r="F75" i="5"/>
  <c r="P75" i="3"/>
  <c r="C76" i="3"/>
  <c r="AJ44" i="3"/>
  <c r="K45" i="2"/>
  <c r="X44" i="3"/>
  <c r="J46" i="6"/>
  <c r="W45" i="6"/>
  <c r="AJ45" i="6" s="1"/>
  <c r="E75" i="2"/>
  <c r="AE74" i="3"/>
  <c r="R74" i="3"/>
  <c r="AD74" i="3" s="1"/>
  <c r="I77" i="6"/>
  <c r="AE46" i="7" l="1"/>
  <c r="J77" i="7"/>
  <c r="W77" i="7" s="1"/>
  <c r="AI77" i="7" s="1"/>
  <c r="W76" i="7"/>
  <c r="AI76" i="7" s="1"/>
  <c r="E77" i="7"/>
  <c r="R77" i="7" s="1"/>
  <c r="R76" i="7"/>
  <c r="AC77" i="7"/>
  <c r="U46" i="7"/>
  <c r="H47" i="7"/>
  <c r="U47" i="7" s="1"/>
  <c r="AE47" i="7"/>
  <c r="AC76" i="7"/>
  <c r="AJ45" i="7"/>
  <c r="AK45" i="7"/>
  <c r="AF46" i="7"/>
  <c r="AG45" i="7"/>
  <c r="AH45" i="7"/>
  <c r="W46" i="7"/>
  <c r="AI46" i="7" s="1"/>
  <c r="J47" i="7"/>
  <c r="W47" i="7" s="1"/>
  <c r="AI47" i="7" s="1"/>
  <c r="AF47" i="7"/>
  <c r="AD75" i="7"/>
  <c r="AE75" i="7"/>
  <c r="AJ76" i="7"/>
  <c r="AK76" i="7"/>
  <c r="K47" i="7"/>
  <c r="X47" i="7" s="1"/>
  <c r="X46" i="7"/>
  <c r="AJ77" i="7"/>
  <c r="AK77" i="7"/>
  <c r="AB47" i="7"/>
  <c r="AH76" i="7"/>
  <c r="AB46" i="7"/>
  <c r="AH77" i="7"/>
  <c r="E76" i="5"/>
  <c r="R75" i="6"/>
  <c r="AD75" i="6" s="1"/>
  <c r="J47" i="5"/>
  <c r="AI46" i="6"/>
  <c r="AJ46" i="6"/>
  <c r="U47" i="6"/>
  <c r="AG47" i="6" s="1"/>
  <c r="AL74" i="3"/>
  <c r="C47" i="3"/>
  <c r="J47" i="6"/>
  <c r="W46" i="6"/>
  <c r="J77" i="5"/>
  <c r="AI45" i="6"/>
  <c r="AC74" i="6"/>
  <c r="C46" i="2"/>
  <c r="P46" i="3" s="1"/>
  <c r="L77" i="2"/>
  <c r="D77" i="5"/>
  <c r="AH47" i="6"/>
  <c r="Q75" i="6"/>
  <c r="D76" i="6"/>
  <c r="R45" i="3"/>
  <c r="AD45" i="3" s="1"/>
  <c r="E46" i="3"/>
  <c r="K46" i="2"/>
  <c r="X45" i="3"/>
  <c r="AJ45" i="3" s="1"/>
  <c r="G76" i="2"/>
  <c r="T75" i="3"/>
  <c r="AF75" i="3" s="1"/>
  <c r="AG75" i="3"/>
  <c r="M77" i="6"/>
  <c r="Z77" i="6" s="1"/>
  <c r="Z76" i="6"/>
  <c r="AL76" i="6" s="1"/>
  <c r="I46" i="2"/>
  <c r="V45" i="3"/>
  <c r="AH45" i="3" s="1"/>
  <c r="L46" i="2"/>
  <c r="AB47" i="6"/>
  <c r="F46" i="3"/>
  <c r="S45" i="3"/>
  <c r="I76" i="2"/>
  <c r="V75" i="3"/>
  <c r="AH75" i="3" s="1"/>
  <c r="O46" i="6"/>
  <c r="AB46" i="6" s="1"/>
  <c r="B47" i="6"/>
  <c r="O47" i="6" s="1"/>
  <c r="T77" i="6"/>
  <c r="H47" i="3"/>
  <c r="U47" i="3" s="1"/>
  <c r="U46" i="3"/>
  <c r="G47" i="5"/>
  <c r="D47" i="2"/>
  <c r="Q46" i="3"/>
  <c r="C77" i="3"/>
  <c r="J76" i="2"/>
  <c r="W75" i="3"/>
  <c r="AI75" i="3" s="1"/>
  <c r="AF45" i="6"/>
  <c r="D76" i="3"/>
  <c r="Q75" i="3"/>
  <c r="M77" i="5"/>
  <c r="C76" i="5"/>
  <c r="P75" i="6"/>
  <c r="AB75" i="6" s="1"/>
  <c r="O45" i="3"/>
  <c r="B46" i="3"/>
  <c r="AI74" i="3"/>
  <c r="P47" i="6"/>
  <c r="F76" i="5"/>
  <c r="Q45" i="6"/>
  <c r="AD45" i="6" s="1"/>
  <c r="D46" i="6"/>
  <c r="O75" i="3"/>
  <c r="AB75" i="3" s="1"/>
  <c r="B76" i="3"/>
  <c r="M46" i="2"/>
  <c r="Z45" i="3"/>
  <c r="AM45" i="3" s="1"/>
  <c r="S46" i="6"/>
  <c r="AF46" i="6" s="1"/>
  <c r="F47" i="6"/>
  <c r="AC75" i="3"/>
  <c r="D76" i="2"/>
  <c r="R45" i="6"/>
  <c r="AE45" i="6" s="1"/>
  <c r="E46" i="6"/>
  <c r="AC74" i="3"/>
  <c r="AF76" i="6"/>
  <c r="G77" i="5"/>
  <c r="W75" i="6"/>
  <c r="AI75" i="6" s="1"/>
  <c r="J76" i="6"/>
  <c r="J46" i="2"/>
  <c r="K76" i="2"/>
  <c r="X75" i="3"/>
  <c r="AJ75" i="3" s="1"/>
  <c r="O75" i="6"/>
  <c r="B76" i="6"/>
  <c r="F46" i="2"/>
  <c r="Y45" i="3"/>
  <c r="AK45" i="3" s="1"/>
  <c r="Y76" i="6"/>
  <c r="L77" i="6"/>
  <c r="Y77" i="6" s="1"/>
  <c r="H77" i="5"/>
  <c r="U76" i="6"/>
  <c r="AG76" i="6" s="1"/>
  <c r="AE44" i="6"/>
  <c r="Y46" i="3"/>
  <c r="L47" i="3"/>
  <c r="F46" i="5"/>
  <c r="F77" i="6"/>
  <c r="S76" i="6"/>
  <c r="E76" i="2"/>
  <c r="R75" i="3"/>
  <c r="AD75" i="3" s="1"/>
  <c r="AC45" i="6"/>
  <c r="D46" i="5"/>
  <c r="T46" i="6"/>
  <c r="AG46" i="6" s="1"/>
  <c r="I76" i="5"/>
  <c r="V75" i="6"/>
  <c r="AH75" i="6" s="1"/>
  <c r="Z45" i="6"/>
  <c r="AL45" i="6" s="1"/>
  <c r="M46" i="6"/>
  <c r="K77" i="6"/>
  <c r="G46" i="2"/>
  <c r="T45" i="3"/>
  <c r="AF45" i="3" s="1"/>
  <c r="L46" i="6"/>
  <c r="Y45" i="6"/>
  <c r="AK45" i="6" s="1"/>
  <c r="S75" i="6"/>
  <c r="AF75" i="6" s="1"/>
  <c r="T47" i="6"/>
  <c r="W45" i="3"/>
  <c r="AI45" i="3" s="1"/>
  <c r="J46" i="3"/>
  <c r="M76" i="2"/>
  <c r="Z75" i="3"/>
  <c r="AM75" i="3" s="1"/>
  <c r="AL44" i="6"/>
  <c r="C76" i="2"/>
  <c r="Y75" i="3"/>
  <c r="L76" i="3"/>
  <c r="E46" i="5"/>
  <c r="P45" i="3"/>
  <c r="AC45" i="3" s="1"/>
  <c r="AJ75" i="6"/>
  <c r="K76" i="5"/>
  <c r="AJ47" i="7" l="1"/>
  <c r="AK47" i="7"/>
  <c r="AJ46" i="7"/>
  <c r="AK46" i="7"/>
  <c r="AG47" i="7"/>
  <c r="AH47" i="7"/>
  <c r="AG46" i="7"/>
  <c r="AH46" i="7"/>
  <c r="AD76" i="7"/>
  <c r="AE76" i="7"/>
  <c r="AD77" i="7"/>
  <c r="AE77" i="7"/>
  <c r="M47" i="6"/>
  <c r="Z47" i="6" s="1"/>
  <c r="Z46" i="6"/>
  <c r="Y47" i="3"/>
  <c r="W47" i="6"/>
  <c r="S47" i="6"/>
  <c r="AF47" i="6" s="1"/>
  <c r="AC46" i="3"/>
  <c r="D77" i="6"/>
  <c r="Q77" i="6" s="1"/>
  <c r="Q76" i="6"/>
  <c r="AC76" i="6" s="1"/>
  <c r="AL75" i="3"/>
  <c r="C77" i="5"/>
  <c r="P76" i="6"/>
  <c r="AB76" i="6" s="1"/>
  <c r="Q47" i="3"/>
  <c r="L47" i="2"/>
  <c r="AC75" i="6"/>
  <c r="M77" i="2"/>
  <c r="Z76" i="3"/>
  <c r="AM76" i="3" s="1"/>
  <c r="I77" i="5"/>
  <c r="V76" i="6"/>
  <c r="AH76" i="6" s="1"/>
  <c r="K77" i="2"/>
  <c r="X76" i="3"/>
  <c r="AJ76" i="3" s="1"/>
  <c r="J47" i="2"/>
  <c r="AI46" i="3"/>
  <c r="M47" i="2"/>
  <c r="Z46" i="3"/>
  <c r="AM46" i="3" s="1"/>
  <c r="AL77" i="6"/>
  <c r="AH46" i="3"/>
  <c r="I47" i="2"/>
  <c r="V46" i="3"/>
  <c r="AE75" i="3"/>
  <c r="W46" i="3"/>
  <c r="J47" i="3"/>
  <c r="U77" i="6"/>
  <c r="AG77" i="6" s="1"/>
  <c r="AL45" i="3"/>
  <c r="K77" i="5"/>
  <c r="J77" i="6"/>
  <c r="W77" i="6" s="1"/>
  <c r="W76" i="6"/>
  <c r="AC46" i="6"/>
  <c r="D47" i="5"/>
  <c r="B77" i="3"/>
  <c r="O77" i="3" s="1"/>
  <c r="O76" i="3"/>
  <c r="AB76" i="3" s="1"/>
  <c r="Q76" i="3"/>
  <c r="D77" i="3"/>
  <c r="Q77" i="3" s="1"/>
  <c r="C47" i="2"/>
  <c r="AI47" i="6"/>
  <c r="AK76" i="6"/>
  <c r="Q46" i="6"/>
  <c r="D47" i="6"/>
  <c r="AB45" i="3"/>
  <c r="E47" i="5"/>
  <c r="L47" i="6"/>
  <c r="Y47" i="6" s="1"/>
  <c r="AK47" i="6" s="1"/>
  <c r="Y46" i="6"/>
  <c r="AK46" i="6" s="1"/>
  <c r="AD76" i="3"/>
  <c r="E77" i="2"/>
  <c r="R76" i="3"/>
  <c r="AE76" i="3" s="1"/>
  <c r="J77" i="2"/>
  <c r="W76" i="3"/>
  <c r="AI76" i="3" s="1"/>
  <c r="AF76" i="3"/>
  <c r="G77" i="2"/>
  <c r="T76" i="3"/>
  <c r="AG76" i="3" s="1"/>
  <c r="E77" i="5"/>
  <c r="R76" i="6"/>
  <c r="AD76" i="6" s="1"/>
  <c r="AE45" i="3"/>
  <c r="AE76" i="6"/>
  <c r="F77" i="5"/>
  <c r="Y76" i="3"/>
  <c r="L77" i="3"/>
  <c r="Y77" i="3" s="1"/>
  <c r="G47" i="2"/>
  <c r="T46" i="3"/>
  <c r="AG46" i="3" s="1"/>
  <c r="F47" i="2"/>
  <c r="AE75" i="6"/>
  <c r="AG45" i="3"/>
  <c r="I77" i="2"/>
  <c r="V76" i="3"/>
  <c r="AH76" i="3" s="1"/>
  <c r="AK75" i="3"/>
  <c r="S77" i="6"/>
  <c r="AF77" i="6" s="1"/>
  <c r="R46" i="6"/>
  <c r="AE46" i="6" s="1"/>
  <c r="E47" i="6"/>
  <c r="R47" i="6" s="1"/>
  <c r="AJ46" i="3"/>
  <c r="K47" i="2"/>
  <c r="X46" i="3"/>
  <c r="AK46" i="3" s="1"/>
  <c r="AJ47" i="6"/>
  <c r="C77" i="2"/>
  <c r="X76" i="6"/>
  <c r="AJ76" i="6" s="1"/>
  <c r="F47" i="5"/>
  <c r="O76" i="6"/>
  <c r="B77" i="6"/>
  <c r="O77" i="6" s="1"/>
  <c r="X77" i="6"/>
  <c r="D77" i="2"/>
  <c r="AC76" i="3"/>
  <c r="B47" i="3"/>
  <c r="O47" i="3" s="1"/>
  <c r="O46" i="3"/>
  <c r="AB46" i="3" s="1"/>
  <c r="P76" i="3"/>
  <c r="S46" i="3"/>
  <c r="F47" i="3"/>
  <c r="R46" i="3"/>
  <c r="AD46" i="3" s="1"/>
  <c r="E47" i="3"/>
  <c r="R47" i="3" s="1"/>
  <c r="AD47" i="3" s="1"/>
  <c r="AF77" i="3" l="1"/>
  <c r="T77" i="3"/>
  <c r="AG77" i="3"/>
  <c r="S47" i="3"/>
  <c r="AE47" i="3" s="1"/>
  <c r="AE46" i="3"/>
  <c r="AB47" i="3"/>
  <c r="P77" i="6"/>
  <c r="AC77" i="6" s="1"/>
  <c r="W77" i="3"/>
  <c r="AI77" i="3" s="1"/>
  <c r="W47" i="3"/>
  <c r="AJ47" i="3" s="1"/>
  <c r="X77" i="3"/>
  <c r="AK77" i="3" s="1"/>
  <c r="AF46" i="3"/>
  <c r="X47" i="3"/>
  <c r="T47" i="3"/>
  <c r="AF47" i="3" s="1"/>
  <c r="P47" i="3"/>
  <c r="AC47" i="3" s="1"/>
  <c r="AD77" i="3"/>
  <c r="R77" i="3"/>
  <c r="AE77" i="3" s="1"/>
  <c r="AH77" i="6"/>
  <c r="V77" i="6"/>
  <c r="AI77" i="6" s="1"/>
  <c r="AK76" i="3"/>
  <c r="AC77" i="3"/>
  <c r="V47" i="3"/>
  <c r="AH47" i="3" s="1"/>
  <c r="AL77" i="3"/>
  <c r="Z77" i="3"/>
  <c r="AM77" i="3" s="1"/>
  <c r="P77" i="3"/>
  <c r="AB77" i="3" s="1"/>
  <c r="AD47" i="6"/>
  <c r="AL76" i="3"/>
  <c r="AD46" i="6"/>
  <c r="R77" i="6"/>
  <c r="AE77" i="6" s="1"/>
  <c r="AI76" i="6"/>
  <c r="AL47" i="3"/>
  <c r="AM47" i="3"/>
  <c r="Z47" i="3"/>
  <c r="AL46" i="6"/>
  <c r="V77" i="3"/>
  <c r="AH77" i="3" s="1"/>
  <c r="Q47" i="6"/>
  <c r="AC47" i="6" s="1"/>
  <c r="AL46" i="3"/>
  <c r="AK47" i="3"/>
  <c r="AL47" i="6"/>
  <c r="AE47" i="6"/>
  <c r="AJ77" i="6"/>
  <c r="AK77" i="6"/>
  <c r="AD77" i="6" l="1"/>
  <c r="AB77" i="6"/>
  <c r="AG47" i="3"/>
  <c r="AI47" i="3"/>
  <c r="AJ77" i="3"/>
</calcChain>
</file>

<file path=xl/sharedStrings.xml><?xml version="1.0" encoding="utf-8"?>
<sst xmlns="http://schemas.openxmlformats.org/spreadsheetml/2006/main" count="115" uniqueCount="82">
  <si>
    <t>Global Justice Fund: Progressive Rates Used                                                                                                                                    for the Global Wealth Tax, 2026-2100</t>
  </si>
  <si>
    <t>Multiple of average             world wealth</t>
  </si>
  <si>
    <t>Wealth level (2026)                  (2025 €)                               (per adult net wealth)</t>
  </si>
  <si>
    <t>Annual wealth tax               (effective tax rate)</t>
  </si>
  <si>
    <t>Number of adult individuals (millions)</t>
  </si>
  <si>
    <t>% World  adult population</t>
  </si>
  <si>
    <t>Total wealth (trillions 2025 €)</t>
  </si>
  <si>
    <t>% World GDP</t>
  </si>
  <si>
    <t>Total wealth tax revenue       (trillions 2025 €)</t>
  </si>
  <si>
    <t>Wealth level (2026)                  (2025 €)                          (per capita)</t>
  </si>
  <si>
    <t xml:space="preserve">Implicit marginal wealth tax rate               </t>
  </si>
  <si>
    <t>Interpretation. In 2026, about 4.7 billion individuals (84.3% of the world adult population) have per adult wealth below world average wealth (110k €) in 2026, while 29 000 individuals (less than 0.001%) own more than 552 millions € (5000 times world average). Their total wealth amounts to 29.9 trillions €, i.e. 21% of world GDP. In our benchmark "global justice" scenario, they will pay 6.0 trillion € in global wealth tax, i.e. 4.2% of world GDP, out of total wealth revenues equal to 10.3% of world GDP. Note. World GDP is projected to be 141 trillions € in 2026. All amounts are expressed in 2025 PPP €. Sources: gjp.wid.world (TE4f)</t>
  </si>
  <si>
    <t>Total population 2026</t>
  </si>
  <si>
    <t>Adult population 2026</t>
  </si>
  <si>
    <t>(Gomez Carrera et al 2025, Tables 1a and 2b)</t>
  </si>
  <si>
    <t>Total population 2025</t>
  </si>
  <si>
    <t>Adult population 2025</t>
  </si>
  <si>
    <t>Wealth Tax Schedules (Bracket Thresholds): Series for Stata Import</t>
  </si>
  <si>
    <t>year</t>
  </si>
  <si>
    <t>bw1</t>
  </si>
  <si>
    <t>bw2</t>
  </si>
  <si>
    <t>bw3</t>
  </si>
  <si>
    <t>bw4</t>
  </si>
  <si>
    <t>bw5</t>
  </si>
  <si>
    <t>bw6</t>
  </si>
  <si>
    <t>bw7</t>
  </si>
  <si>
    <t>bw8</t>
  </si>
  <si>
    <t>bw9</t>
  </si>
  <si>
    <t>bw10</t>
  </si>
  <si>
    <t>bw11</t>
  </si>
  <si>
    <t>bw12</t>
  </si>
  <si>
    <t>Wealth Tax Schedules (Effective Tax Rates): Series for Stata Import</t>
  </si>
  <si>
    <t>After-tax income</t>
  </si>
  <si>
    <t>Marginal tax rates</t>
  </si>
  <si>
    <t>Non-monotonic marginal tax rates</t>
  </si>
  <si>
    <t>tw1</t>
  </si>
  <si>
    <t>tw2</t>
  </si>
  <si>
    <t>tw3</t>
  </si>
  <si>
    <t>tw4</t>
  </si>
  <si>
    <t>tw5</t>
  </si>
  <si>
    <t>tw6</t>
  </si>
  <si>
    <t>tw7</t>
  </si>
  <si>
    <t>tw8</t>
  </si>
  <si>
    <t>tw9</t>
  </si>
  <si>
    <t>tw10</t>
  </si>
  <si>
    <t>tw11</t>
  </si>
  <si>
    <t>tw12</t>
  </si>
  <si>
    <t>Global Justice Fund: Progressive Rates Used                                                                                                                                    for the Global Income Tax, 2026-2100</t>
  </si>
  <si>
    <t>Multiple of average             world Income</t>
  </si>
  <si>
    <t>Income level (2026)                  (2025 €)                               (per adult disposable income)</t>
  </si>
  <si>
    <t>Annual Income tax               (effective tax rate)</t>
  </si>
  <si>
    <t>Total Income (trillions 2025 €)</t>
  </si>
  <si>
    <t>Total Income tax revenue       (trillions 2025 €)</t>
  </si>
  <si>
    <t>Income level (2026)                  (2025 €)                          (per capita)</t>
  </si>
  <si>
    <t xml:space="preserve">Implicit marginal Income tax rate               </t>
  </si>
  <si>
    <t>Interpretation. In 2026, about 4.1 billion individuals (72.9% of the world adult population) have disposable income below world average disposable income (21k €), and about 40 000 individuals (less than 0.001%) have more than 1000 times average income (21 million Euros). Their total income is 2.2 trillions €, i.e. 1.6% of world GDP. In our benchmark scenario, they pay 1.9 trillion € in global income tax, i.e. 1.3% of world GDP, out of total income tax revenues equal to 4.5% of world GDP. In terms of potential tax base and tax revenue, taxpayers with several dozen millions Euros in income do matter, but they matter less than those with several hundred thousands or several millions.  Sources: gjp.wid.world (TE5f)</t>
  </si>
  <si>
    <t>Income Tax Schedules (Bracket Thresholds): Series for Stata Import</t>
  </si>
  <si>
    <t>by1</t>
  </si>
  <si>
    <t>by2</t>
  </si>
  <si>
    <t>by3</t>
  </si>
  <si>
    <t>by4</t>
  </si>
  <si>
    <t>by5</t>
  </si>
  <si>
    <t>by6</t>
  </si>
  <si>
    <t>by7</t>
  </si>
  <si>
    <t>by8</t>
  </si>
  <si>
    <t>by9</t>
  </si>
  <si>
    <t>by10</t>
  </si>
  <si>
    <t>by11</t>
  </si>
  <si>
    <t>by12</t>
  </si>
  <si>
    <t>Income Tax Schedules (Effective Tax Rates): Series for Stata Import</t>
  </si>
  <si>
    <t>ty1</t>
  </si>
  <si>
    <t>ty2</t>
  </si>
  <si>
    <t>ty3</t>
  </si>
  <si>
    <t>ty4</t>
  </si>
  <si>
    <t>ty5</t>
  </si>
  <si>
    <t>ty6</t>
  </si>
  <si>
    <t>ty7</t>
  </si>
  <si>
    <t>ty8</t>
  </si>
  <si>
    <t>ty9</t>
  </si>
  <si>
    <t>ty10</t>
  </si>
  <si>
    <t>ty11</t>
  </si>
  <si>
    <t>ty12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</si>
</sst>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
    <numFmt numFmtId="165" formatCode="0.0"/>
    <numFmt numFmtId="166" formatCode="0.000%"/>
    <numFmt numFmtId="167" formatCode="#,##0.000"/>
  </numFmts>
  <fonts count="25" x14ac:knownFonts="1">
    <font>
      <sz val="11"/>
      <color rgb="FF000000"/>
      <name val="Calibri"/>
      <family val="2"/>
      <scheme val="minor"/>
    </font>
    <font>
      <sz val="12"/>
      <name val="Arial"/>
      <family val="2"/>
    </font>
    <font>
      <sz val="12"/>
      <color theme="1"/>
      <name val="Arial"/>
      <family val="2"/>
    </font>
    <font>
      <sz val="12"/>
      <color rgb="FF000000"/>
      <name val="Arial"/>
      <family val="2"/>
    </font>
    <font>
      <sz val="12"/>
      <color theme="1"/>
      <name val="Arial"/>
      <family val="2"/>
    </font>
    <font>
      <b/>
      <sz val="12"/>
      <color theme="1"/>
      <name val="Arial"/>
      <family val="2"/>
    </font>
    <font>
      <sz val="12"/>
      <color theme="1"/>
      <name val="Calibri"/>
      <family val="2"/>
      <scheme val="minor"/>
    </font>
    <font>
      <sz val="11"/>
      <color theme="1"/>
      <name val="Calibri"/>
      <family val="2"/>
      <scheme val="minor"/>
    </font>
    <font>
      <sz val="10"/>
      <name val="Arial"/>
      <family val="2"/>
    </font>
    <font>
      <b/>
      <sz val="12"/>
      <name val="Arial"/>
      <family val="2"/>
    </font>
    <font>
      <sz val="11"/>
      <color rgb="FF000000"/>
      <name val="Calibri"/>
      <family val="2"/>
      <scheme val="minor"/>
    </font>
    <font>
      <sz val="12"/>
      <name val="Arial"/>
      <family val="2"/>
    </font>
    <font>
      <sz val="12"/>
      <color indexed="24"/>
      <name val="Arial"/>
      <family val="2"/>
    </font>
    <font>
      <sz val="14"/>
      <name val="Arial"/>
      <family val="2"/>
    </font>
    <font>
      <b/>
      <sz val="14"/>
      <name val="Arial"/>
      <family val="2"/>
    </font>
    <font>
      <sz val="8"/>
      <color indexed="24"/>
      <name val="Arial"/>
      <family val="2"/>
    </font>
    <font>
      <sz val="10"/>
      <color indexed="24"/>
      <name val="Arial Narrow"/>
      <family val="2"/>
    </font>
    <font>
      <sz val="14"/>
      <name val="Arial Narrow"/>
      <family val="2"/>
    </font>
    <font>
      <b/>
      <sz val="22"/>
      <name val="Arial"/>
      <family val="2"/>
    </font>
    <font>
      <sz val="10"/>
      <color indexed="24"/>
      <name val="Arial"/>
      <family val="2"/>
    </font>
    <font>
      <b/>
      <sz val="10"/>
      <color indexed="8"/>
      <name val="Arial"/>
      <family val="2"/>
    </font>
    <font>
      <b/>
      <sz val="16"/>
      <color indexed="8"/>
      <name val="Arial Narrow"/>
      <family val="2"/>
    </font>
    <font>
      <b/>
      <sz val="16"/>
      <name val="Arial Narrow"/>
      <family val="2"/>
    </font>
    <font>
      <sz val="11"/>
      <name val="Calibri"/>
      <family val="2"/>
    </font>
    <font>
      <b/>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15">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ck">
        <color auto="1"/>
      </right>
      <top style="thick">
        <color auto="1"/>
      </top>
      <bottom style="thick">
        <color auto="1"/>
      </bottom>
      <diagonal/>
    </border>
    <border>
      <left/>
      <right/>
      <top style="thick">
        <color auto="1"/>
      </top>
      <bottom style="thick">
        <color auto="1"/>
      </bottom>
      <diagonal/>
    </border>
    <border>
      <left style="thick">
        <color auto="1"/>
      </left>
      <right/>
      <top style="thick">
        <color auto="1"/>
      </top>
      <bottom style="thick">
        <color auto="1"/>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style="thick">
        <color auto="1"/>
      </right>
      <top style="thick">
        <color auto="1"/>
      </top>
      <bottom/>
      <diagonal/>
    </border>
    <border>
      <left style="thick">
        <color auto="1"/>
      </left>
      <right style="thick">
        <color auto="1"/>
      </right>
      <top style="thick">
        <color auto="1"/>
      </top>
      <bottom style="thick">
        <color auto="1"/>
      </bottom>
      <diagonal/>
    </border>
  </borders>
  <cellStyleXfs count="34">
    <xf numFmtId="0" fontId="0" fillId="0" borderId="0"/>
    <xf numFmtId="0" fontId="6" fillId="0" borderId="0"/>
    <xf numFmtId="0" fontId="7" fillId="0" borderId="0"/>
    <xf numFmtId="9" fontId="10" fillId="0" borderId="0"/>
    <xf numFmtId="0" fontId="7" fillId="0" borderId="0"/>
    <xf numFmtId="0" fontId="4" fillId="0" borderId="0"/>
    <xf numFmtId="0" fontId="10" fillId="0" borderId="0"/>
    <xf numFmtId="9" fontId="6" fillId="0" borderId="0"/>
    <xf numFmtId="0" fontId="6" fillId="0" borderId="0"/>
    <xf numFmtId="0" fontId="7" fillId="0" borderId="0"/>
    <xf numFmtId="0" fontId="7" fillId="0" borderId="0"/>
    <xf numFmtId="9" fontId="7" fillId="0" borderId="0"/>
    <xf numFmtId="0" fontId="12" fillId="0" borderId="0"/>
    <xf numFmtId="0" fontId="8" fillId="0" borderId="0"/>
    <xf numFmtId="0" fontId="7" fillId="0" borderId="0"/>
    <xf numFmtId="0" fontId="7" fillId="0" borderId="0"/>
    <xf numFmtId="0" fontId="23" fillId="0" borderId="0"/>
    <xf numFmtId="0" fontId="7" fillId="0" borderId="0"/>
    <xf numFmtId="9" fontId="4" fillId="0" borderId="0"/>
    <xf numFmtId="0" fontId="7" fillId="0" borderId="0"/>
    <xf numFmtId="9" fontId="7" fillId="0" borderId="0"/>
    <xf numFmtId="0" fontId="7" fillId="0" borderId="0"/>
    <xf numFmtId="9" fontId="23" fillId="0" borderId="0"/>
    <xf numFmtId="9" fontId="7" fillId="0" borderId="0"/>
    <xf numFmtId="0" fontId="6" fillId="0" borderId="0"/>
    <xf numFmtId="0" fontId="6" fillId="0" borderId="0"/>
    <xf numFmtId="9" fontId="7" fillId="0" borderId="0"/>
    <xf numFmtId="9" fontId="7" fillId="0" borderId="0"/>
    <xf numFmtId="0" fontId="7" fillId="0" borderId="0"/>
    <xf numFmtId="9" fontId="7" fillId="0" borderId="0"/>
    <xf numFmtId="9" fontId="6" fillId="0" borderId="0"/>
    <xf numFmtId="9" fontId="7" fillId="0" borderId="0"/>
    <xf numFmtId="0" fontId="7" fillId="0" borderId="0"/>
    <xf numFmtId="0" fontId="7" fillId="0" borderId="0"/>
  </cellStyleXfs>
  <cellXfs count="81">
    <xf numFmtId="0" fontId="0" fillId="0" borderId="0" xfId="0"/>
    <xf numFmtId="0" fontId="3" fillId="0" borderId="0" xfId="0" applyFont="1"/>
    <xf numFmtId="2" fontId="0" fillId="0" borderId="0" xfId="0" applyNumberFormat="1"/>
    <xf numFmtId="9" fontId="0" fillId="0" borderId="0" xfId="3" applyFont="1"/>
    <xf numFmtId="0" fontId="12" fillId="0" borderId="0" xfId="12"/>
    <xf numFmtId="164" fontId="13" fillId="0" borderId="12" xfId="12" applyNumberFormat="1" applyFont="1" applyBorder="1" applyAlignment="1">
      <alignment horizontal="center" vertical="center"/>
    </xf>
    <xf numFmtId="3" fontId="13" fillId="0" borderId="12" xfId="12" applyNumberFormat="1" applyFont="1" applyBorder="1" applyAlignment="1">
      <alignment horizontal="center" vertical="center"/>
    </xf>
    <xf numFmtId="9" fontId="13" fillId="0" borderId="7" xfId="12" applyNumberFormat="1" applyFont="1" applyBorder="1" applyAlignment="1">
      <alignment horizontal="center" vertical="center"/>
    </xf>
    <xf numFmtId="3" fontId="13" fillId="0" borderId="6" xfId="12" applyNumberFormat="1" applyFont="1" applyBorder="1" applyAlignment="1">
      <alignment horizontal="center" vertical="center"/>
    </xf>
    <xf numFmtId="164" fontId="14" fillId="0" borderId="6" xfId="12" applyNumberFormat="1" applyFont="1" applyBorder="1" applyAlignment="1">
      <alignment horizontal="center" vertical="center"/>
    </xf>
    <xf numFmtId="3" fontId="14" fillId="0" borderId="5" xfId="12" applyNumberFormat="1" applyFont="1" applyBorder="1" applyAlignment="1">
      <alignment horizontal="center" vertical="center" wrapText="1"/>
    </xf>
    <xf numFmtId="164" fontId="13" fillId="0" borderId="11" xfId="12" applyNumberFormat="1" applyFont="1" applyBorder="1" applyAlignment="1">
      <alignment horizontal="center" vertical="center"/>
    </xf>
    <xf numFmtId="3" fontId="13" fillId="0" borderId="11" xfId="12" applyNumberFormat="1" applyFont="1" applyBorder="1" applyAlignment="1">
      <alignment horizontal="center" vertical="center"/>
    </xf>
    <xf numFmtId="9" fontId="13" fillId="0" borderId="4" xfId="12" applyNumberFormat="1" applyFont="1" applyBorder="1" applyAlignment="1">
      <alignment horizontal="center" vertical="center"/>
    </xf>
    <xf numFmtId="3" fontId="14" fillId="0" borderId="3" xfId="12" applyNumberFormat="1" applyFont="1" applyBorder="1" applyAlignment="1">
      <alignment horizontal="center" vertical="center" wrapText="1"/>
    </xf>
    <xf numFmtId="164" fontId="15" fillId="0" borderId="0" xfId="12" applyNumberFormat="1" applyFont="1"/>
    <xf numFmtId="0" fontId="16" fillId="0" borderId="0" xfId="12" applyFont="1"/>
    <xf numFmtId="0" fontId="17" fillId="0" borderId="13" xfId="12" applyFont="1" applyBorder="1" applyAlignment="1">
      <alignment horizontal="center" vertical="center" wrapText="1"/>
    </xf>
    <xf numFmtId="0" fontId="17" fillId="0" borderId="2" xfId="12" applyFont="1" applyBorder="1" applyAlignment="1">
      <alignment horizontal="center" vertical="center" wrapText="1"/>
    </xf>
    <xf numFmtId="0" fontId="19" fillId="0" borderId="0" xfId="12" applyFont="1"/>
    <xf numFmtId="165" fontId="20" fillId="0" borderId="0" xfId="12" applyNumberFormat="1" applyFont="1"/>
    <xf numFmtId="0" fontId="3" fillId="0" borderId="0" xfId="0" applyFont="1" applyAlignment="1">
      <alignment horizontal="center"/>
    </xf>
    <xf numFmtId="9" fontId="11" fillId="0" borderId="0" xfId="3" applyFont="1" applyAlignment="1">
      <alignment horizontal="center" vertical="center"/>
    </xf>
    <xf numFmtId="0" fontId="2" fillId="0" borderId="0" xfId="12" applyFont="1"/>
    <xf numFmtId="2" fontId="2" fillId="0" borderId="0" xfId="12" applyNumberFormat="1" applyFont="1"/>
    <xf numFmtId="0" fontId="21" fillId="0" borderId="3" xfId="12" applyFont="1" applyBorder="1" applyAlignment="1">
      <alignment horizontal="center" vertical="center" wrapText="1"/>
    </xf>
    <xf numFmtId="164" fontId="5" fillId="0" borderId="0" xfId="3" applyNumberFormat="1" applyFont="1" applyAlignment="1">
      <alignment horizontal="center"/>
    </xf>
    <xf numFmtId="164" fontId="11" fillId="0" borderId="0" xfId="3" applyNumberFormat="1" applyFont="1" applyAlignment="1">
      <alignment horizontal="center" vertical="center"/>
    </xf>
    <xf numFmtId="164" fontId="9" fillId="0" borderId="0" xfId="3" applyNumberFormat="1" applyFont="1" applyAlignment="1">
      <alignment horizontal="center" vertical="center"/>
    </xf>
    <xf numFmtId="9" fontId="5" fillId="0" borderId="0" xfId="3" applyFont="1" applyAlignment="1">
      <alignment horizontal="center"/>
    </xf>
    <xf numFmtId="9" fontId="9" fillId="0" borderId="0" xfId="3" applyFont="1" applyAlignment="1">
      <alignment horizontal="center" vertical="center"/>
    </xf>
    <xf numFmtId="0" fontId="17" fillId="0" borderId="1" xfId="12" applyFont="1" applyBorder="1" applyAlignment="1">
      <alignment horizontal="center" vertical="center" wrapText="1"/>
    </xf>
    <xf numFmtId="164" fontId="13" fillId="0" borderId="4" xfId="12" applyNumberFormat="1" applyFont="1" applyBorder="1" applyAlignment="1">
      <alignment horizontal="center" vertical="center"/>
    </xf>
    <xf numFmtId="3" fontId="2" fillId="0" borderId="0" xfId="12" applyNumberFormat="1" applyFont="1"/>
    <xf numFmtId="164" fontId="13" fillId="0" borderId="0" xfId="12" applyNumberFormat="1" applyFont="1" applyAlignment="1">
      <alignment horizontal="center" vertical="center"/>
    </xf>
    <xf numFmtId="164" fontId="13" fillId="0" borderId="7" xfId="12" applyNumberFormat="1" applyFont="1" applyBorder="1" applyAlignment="1">
      <alignment horizontal="center" vertical="center"/>
    </xf>
    <xf numFmtId="10" fontId="13" fillId="0" borderId="4" xfId="12" applyNumberFormat="1" applyFont="1" applyBorder="1" applyAlignment="1">
      <alignment horizontal="center" vertical="center"/>
    </xf>
    <xf numFmtId="166" fontId="13" fillId="0" borderId="4" xfId="12" applyNumberFormat="1" applyFont="1" applyBorder="1" applyAlignment="1">
      <alignment horizontal="center" vertical="center"/>
    </xf>
    <xf numFmtId="166" fontId="13" fillId="0" borderId="7" xfId="12" applyNumberFormat="1" applyFont="1" applyBorder="1" applyAlignment="1">
      <alignment horizontal="center" vertical="center"/>
    </xf>
    <xf numFmtId="3" fontId="13" fillId="0" borderId="3" xfId="12" applyNumberFormat="1" applyFont="1" applyBorder="1" applyAlignment="1">
      <alignment horizontal="center" vertical="center"/>
    </xf>
    <xf numFmtId="167" fontId="13" fillId="0" borderId="3" xfId="12" applyNumberFormat="1" applyFont="1" applyBorder="1" applyAlignment="1">
      <alignment horizontal="center" vertical="center"/>
    </xf>
    <xf numFmtId="167" fontId="13" fillId="0" borderId="5" xfId="12" applyNumberFormat="1" applyFont="1" applyBorder="1" applyAlignment="1">
      <alignment horizontal="center" vertical="center"/>
    </xf>
    <xf numFmtId="165" fontId="2" fillId="0" borderId="0" xfId="12" applyNumberFormat="1" applyFont="1"/>
    <xf numFmtId="165" fontId="13" fillId="0" borderId="3" xfId="12" applyNumberFormat="1" applyFont="1" applyBorder="1" applyAlignment="1">
      <alignment horizontal="center" vertical="center"/>
    </xf>
    <xf numFmtId="165" fontId="13" fillId="0" borderId="5" xfId="12" applyNumberFormat="1" applyFont="1" applyBorder="1" applyAlignment="1">
      <alignment horizontal="center" vertical="center"/>
    </xf>
    <xf numFmtId="3" fontId="13" fillId="0" borderId="10" xfId="12" applyNumberFormat="1" applyFont="1" applyBorder="1" applyAlignment="1">
      <alignment horizontal="center" vertical="center"/>
    </xf>
    <xf numFmtId="9" fontId="13" fillId="0" borderId="9" xfId="12" applyNumberFormat="1" applyFont="1" applyBorder="1" applyAlignment="1">
      <alignment horizontal="center" vertical="center"/>
    </xf>
    <xf numFmtId="165" fontId="13" fillId="0" borderId="9" xfId="12" applyNumberFormat="1" applyFont="1" applyBorder="1" applyAlignment="1">
      <alignment horizontal="center" vertical="center"/>
    </xf>
    <xf numFmtId="9" fontId="13" fillId="0" borderId="8" xfId="12" applyNumberFormat="1" applyFont="1" applyBorder="1" applyAlignment="1">
      <alignment horizontal="center" vertical="center"/>
    </xf>
    <xf numFmtId="165" fontId="13" fillId="0" borderId="10" xfId="12" applyNumberFormat="1" applyFont="1" applyBorder="1" applyAlignment="1">
      <alignment horizontal="center" vertical="center"/>
    </xf>
    <xf numFmtId="164" fontId="13" fillId="0" borderId="8" xfId="12" applyNumberFormat="1" applyFont="1" applyBorder="1" applyAlignment="1">
      <alignment horizontal="center" vertical="center"/>
    </xf>
    <xf numFmtId="0" fontId="22" fillId="0" borderId="13" xfId="12" applyFont="1" applyBorder="1" applyAlignment="1">
      <alignment horizontal="center" vertical="center" wrapText="1"/>
    </xf>
    <xf numFmtId="164" fontId="14" fillId="0" borderId="11" xfId="12" applyNumberFormat="1" applyFont="1" applyBorder="1" applyAlignment="1">
      <alignment horizontal="center" vertical="center"/>
    </xf>
    <xf numFmtId="164" fontId="14" fillId="0" borderId="12" xfId="12" applyNumberFormat="1" applyFont="1" applyBorder="1" applyAlignment="1">
      <alignment horizontal="center" vertical="center"/>
    </xf>
    <xf numFmtId="0" fontId="21" fillId="0" borderId="13" xfId="12" applyFont="1" applyBorder="1" applyAlignment="1">
      <alignment horizontal="center" vertical="center" wrapText="1"/>
    </xf>
    <xf numFmtId="3" fontId="14" fillId="0" borderId="11" xfId="12" applyNumberFormat="1" applyFont="1" applyBorder="1" applyAlignment="1">
      <alignment horizontal="center" vertical="center" wrapText="1"/>
    </xf>
    <xf numFmtId="3" fontId="14" fillId="0" borderId="12" xfId="12" applyNumberFormat="1" applyFont="1" applyBorder="1" applyAlignment="1">
      <alignment horizontal="center" vertical="center" wrapText="1"/>
    </xf>
    <xf numFmtId="3" fontId="14" fillId="0" borderId="6" xfId="12" applyNumberFormat="1" applyFont="1" applyBorder="1" applyAlignment="1">
      <alignment horizontal="center" vertical="center"/>
    </xf>
    <xf numFmtId="0" fontId="17" fillId="0" borderId="0" xfId="12" applyFont="1" applyAlignment="1">
      <alignment horizontal="center" vertical="center" wrapText="1"/>
    </xf>
    <xf numFmtId="3" fontId="13" fillId="0" borderId="0" xfId="12" applyNumberFormat="1" applyFont="1" applyAlignment="1">
      <alignment horizontal="center" vertical="center"/>
    </xf>
    <xf numFmtId="3" fontId="14" fillId="0" borderId="1" xfId="12" applyNumberFormat="1" applyFont="1" applyBorder="1" applyAlignment="1">
      <alignment horizontal="center" vertical="center" wrapText="1"/>
    </xf>
    <xf numFmtId="3" fontId="14" fillId="0" borderId="0" xfId="12" applyNumberFormat="1" applyFont="1" applyAlignment="1">
      <alignment horizontal="center" vertical="center" wrapText="1"/>
    </xf>
    <xf numFmtId="164" fontId="14" fillId="0" borderId="0" xfId="12" applyNumberFormat="1" applyFont="1" applyAlignment="1">
      <alignment horizontal="center" vertical="center"/>
    </xf>
    <xf numFmtId="3" fontId="14" fillId="0" borderId="0" xfId="12" applyNumberFormat="1" applyFont="1" applyAlignment="1">
      <alignment horizontal="center" vertical="center"/>
    </xf>
    <xf numFmtId="0" fontId="22" fillId="0" borderId="0" xfId="12" applyFont="1" applyAlignment="1">
      <alignment horizontal="center" vertical="center" wrapText="1"/>
    </xf>
    <xf numFmtId="2" fontId="5" fillId="0" borderId="0" xfId="12" applyNumberFormat="1" applyFont="1" applyAlignment="1">
      <alignment horizontal="center"/>
    </xf>
    <xf numFmtId="2" fontId="11" fillId="0" borderId="0" xfId="3" applyNumberFormat="1" applyFont="1" applyAlignment="1">
      <alignment horizontal="center" vertical="center"/>
    </xf>
    <xf numFmtId="2" fontId="9" fillId="0" borderId="0" xfId="3" applyNumberFormat="1" applyFont="1" applyAlignment="1">
      <alignment horizontal="center" vertical="center"/>
    </xf>
    <xf numFmtId="9" fontId="24" fillId="0" borderId="0" xfId="3" applyFont="1"/>
    <xf numFmtId="9" fontId="24" fillId="2" borderId="0" xfId="3" applyFont="1" applyFill="1"/>
    <xf numFmtId="165" fontId="0" fillId="0" borderId="0" xfId="0" applyNumberFormat="1"/>
    <xf numFmtId="1" fontId="0" fillId="0" borderId="0" xfId="0" applyNumberFormat="1"/>
    <xf numFmtId="0" fontId="1" fillId="0" borderId="14" xfId="12" applyFont="1" applyBorder="1" applyAlignment="1">
      <alignment horizontal="justify" vertical="top" wrapText="1"/>
    </xf>
    <xf numFmtId="0" fontId="0" fillId="0" borderId="9" xfId="0" applyBorder="1"/>
    <xf numFmtId="0" fontId="0" fillId="0" borderId="8" xfId="0" applyBorder="1"/>
    <xf numFmtId="0" fontId="18" fillId="0" borderId="14" xfId="12" applyFont="1" applyBorder="1" applyAlignment="1">
      <alignment horizontal="center" vertical="center" wrapText="1"/>
    </xf>
    <xf numFmtId="9" fontId="11" fillId="2" borderId="0" xfId="3" applyFont="1" applyFill="1" applyAlignment="1">
      <alignment horizontal="center" vertical="center"/>
    </xf>
    <xf numFmtId="9" fontId="9" fillId="2" borderId="0" xfId="3" applyFont="1" applyFill="1" applyAlignment="1">
      <alignment horizontal="center" vertical="center"/>
    </xf>
    <xf numFmtId="1" fontId="11" fillId="0" borderId="0" xfId="3" applyNumberFormat="1" applyFont="1" applyAlignment="1">
      <alignment horizontal="center" vertical="center"/>
    </xf>
    <xf numFmtId="1" fontId="9" fillId="0" borderId="0" xfId="3" applyNumberFormat="1" applyFont="1" applyAlignment="1">
      <alignment horizontal="center" vertical="center"/>
    </xf>
    <xf numFmtId="1" fontId="5" fillId="0" borderId="0" xfId="12" applyNumberFormat="1" applyFont="1" applyAlignment="1">
      <alignment horizontal="center"/>
    </xf>
  </cellXfs>
  <cellStyles count="34">
    <cellStyle name="Normal" xfId="0" builtinId="0"/>
    <cellStyle name="Normal 15 12 2" xfId="1"/>
    <cellStyle name="Normal 15 12 2 2" xfId="8"/>
    <cellStyle name="Normal 2" xfId="5"/>
    <cellStyle name="Normal 2 2" xfId="6"/>
    <cellStyle name="Normal 2 2 2" xfId="2"/>
    <cellStyle name="Normal 2 2 2 2" xfId="4"/>
    <cellStyle name="Normal 2 2 2 3" xfId="9"/>
    <cellStyle name="Normal 2 2 2 4" xfId="10"/>
    <cellStyle name="Normal 2 2 2 5" xfId="14"/>
    <cellStyle name="Normal 2 2 2 6" xfId="15"/>
    <cellStyle name="Normal 2 2 2 7" xfId="17"/>
    <cellStyle name="Normal 2 2 2 8" xfId="25"/>
    <cellStyle name="Normal 2 2 3" xfId="13"/>
    <cellStyle name="Normal 2 2 4" xfId="24"/>
    <cellStyle name="Normal 2 3" xfId="21"/>
    <cellStyle name="Normal 3" xfId="16"/>
    <cellStyle name="Normal 3 2" xfId="33"/>
    <cellStyle name="Normal 4" xfId="19"/>
    <cellStyle name="Normal 5" xfId="28"/>
    <cellStyle name="Normal 6" xfId="32"/>
    <cellStyle name="Normal_PikettyPostelVinayRosenthal2011AppendixB" xfId="12"/>
    <cellStyle name="Per cent 2" xfId="23"/>
    <cellStyle name="Per cent 3" xfId="29"/>
    <cellStyle name="Per cent 4" xfId="30"/>
    <cellStyle name="Pourcentage" xfId="3" builtinId="5"/>
    <cellStyle name="Pourcentage 2" xfId="7"/>
    <cellStyle name="Pourcentage 2 2" xfId="11"/>
    <cellStyle name="Pourcentage 2 3" xfId="31"/>
    <cellStyle name="Pourcentage 3" xfId="18"/>
    <cellStyle name="Pourcentage 3 2" xfId="26"/>
    <cellStyle name="Pourcentage 3 3" xfId="22"/>
    <cellStyle name="Pourcentage 4" xfId="20"/>
    <cellStyle name="Pourcentage 5" xfId="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externalLink" Target="externalLinks/externalLink8.xml"/><Relationship Id="rId10" Type="http://schemas.openxmlformats.org/officeDocument/2006/relationships/externalLink" Target="externalLinks/externalLink3.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E4p"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E4w"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E4r"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C4cp"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12"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A0"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A0x"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E5p"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E5y"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E5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A0n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4p"/>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4w"/>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4r"/>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4cp"/>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12"/>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0"/>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0x"/>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5p"/>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5y"/>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5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0n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1F955"/>
  </sheetPr>
  <dimension ref="A1:AM79"/>
  <sheetViews>
    <sheetView tabSelected="1" workbookViewId="0">
      <pane xSplit="1" ySplit="3" topLeftCell="B52" activePane="bottomRight" state="frozen"/>
      <selection activeCell="F79" sqref="F79"/>
      <selection pane="topRight" activeCell="F79" sqref="F79"/>
      <selection pane="bottomLeft" activeCell="F79" sqref="F79"/>
      <selection pane="bottomRight" activeCell="L65" sqref="L65"/>
    </sheetView>
  </sheetViews>
  <sheetFormatPr baseColWidth="10" defaultColWidth="11.42578125" defaultRowHeight="15" x14ac:dyDescent="0.25"/>
  <cols>
    <col min="1" max="1" width="15" customWidth="1"/>
    <col min="2" max="2" width="12.7109375" customWidth="1"/>
    <col min="15" max="17" width="11.5703125" bestFit="1" customWidth="1"/>
    <col min="18" max="19" width="12.5703125" bestFit="1" customWidth="1"/>
  </cols>
  <sheetData>
    <row r="1" spans="1:39" ht="15.75" customHeight="1" x14ac:dyDescent="0.25">
      <c r="A1" s="1" t="s">
        <v>69</v>
      </c>
      <c r="B1" s="1"/>
      <c r="C1" s="1"/>
      <c r="D1" s="1"/>
      <c r="E1" s="1"/>
      <c r="F1" s="1"/>
      <c r="G1" s="1"/>
      <c r="H1" s="1"/>
      <c r="I1" s="1"/>
      <c r="J1" s="1"/>
      <c r="K1" s="1"/>
      <c r="L1" s="1"/>
      <c r="M1" s="1"/>
      <c r="N1" s="1"/>
      <c r="O1" s="1" t="s">
        <v>32</v>
      </c>
      <c r="P1" s="1"/>
      <c r="AB1" t="s">
        <v>33</v>
      </c>
    </row>
    <row r="2" spans="1:39" ht="15.75" customHeight="1" x14ac:dyDescent="0.25">
      <c r="A2" s="1"/>
      <c r="B2" s="1"/>
      <c r="C2" s="1"/>
      <c r="D2" s="1"/>
      <c r="E2" s="1"/>
      <c r="F2" s="1"/>
      <c r="G2" s="1"/>
      <c r="H2" s="1"/>
      <c r="I2" s="1"/>
      <c r="J2" s="1"/>
      <c r="K2" s="1"/>
      <c r="L2" s="1"/>
      <c r="M2" s="1"/>
      <c r="N2" s="1"/>
      <c r="O2" s="1"/>
      <c r="P2" s="1"/>
      <c r="AA2" t="s">
        <v>34</v>
      </c>
    </row>
    <row r="3" spans="1:39" ht="15.75" customHeight="1" x14ac:dyDescent="0.25">
      <c r="A3" s="21" t="s">
        <v>18</v>
      </c>
      <c r="B3" s="21" t="s">
        <v>70</v>
      </c>
      <c r="C3" s="21" t="s">
        <v>71</v>
      </c>
      <c r="D3" s="21" t="s">
        <v>72</v>
      </c>
      <c r="E3" s="21" t="s">
        <v>73</v>
      </c>
      <c r="F3" s="21" t="s">
        <v>74</v>
      </c>
      <c r="G3" s="21" t="s">
        <v>75</v>
      </c>
      <c r="H3" s="21" t="s">
        <v>76</v>
      </c>
      <c r="I3" s="21" t="s">
        <v>77</v>
      </c>
      <c r="J3" s="21" t="s">
        <v>78</v>
      </c>
      <c r="K3" s="21" t="s">
        <v>79</v>
      </c>
      <c r="L3" s="21" t="s">
        <v>80</v>
      </c>
      <c r="M3" s="21" t="s">
        <v>81</v>
      </c>
      <c r="N3" s="21"/>
      <c r="O3" s="21"/>
      <c r="P3" s="1"/>
    </row>
    <row r="4" spans="1:39" ht="15.75" customHeight="1" x14ac:dyDescent="0.25">
      <c r="A4" s="21">
        <v>2026</v>
      </c>
      <c r="B4" s="29">
        <f>TE5f!$C7</f>
        <v>0</v>
      </c>
      <c r="C4" s="29">
        <f>TE5f!$C8</f>
        <v>0</v>
      </c>
      <c r="D4" s="29">
        <f>TE5f!$C9</f>
        <v>0.05</v>
      </c>
      <c r="E4" s="29">
        <f>TE5f!$C10</f>
        <v>0.1</v>
      </c>
      <c r="F4" s="29">
        <f>TE5f!$C11</f>
        <v>0.15</v>
      </c>
      <c r="G4" s="29">
        <f>TE5f!$C12</f>
        <v>0.2</v>
      </c>
      <c r="H4" s="29">
        <f>TE5f!$C13</f>
        <v>0.4</v>
      </c>
      <c r="I4" s="29">
        <f>TE5f!$C14</f>
        <v>0.5</v>
      </c>
      <c r="J4" s="29">
        <f>TE5f!$C15</f>
        <v>0.6</v>
      </c>
      <c r="K4" s="29">
        <f>TE5f!$C16</f>
        <v>0.7</v>
      </c>
      <c r="L4" s="29">
        <f>TE5f!$C17</f>
        <v>0.8</v>
      </c>
      <c r="M4" s="29">
        <f>TE5f!$C18</f>
        <v>0.9</v>
      </c>
      <c r="N4" s="29"/>
      <c r="O4">
        <f>(1-B4)*E4b!B4</f>
        <v>5</v>
      </c>
      <c r="P4">
        <f>(1-C4)*E5b!C4</f>
        <v>7</v>
      </c>
      <c r="Q4">
        <f>(1-D4)*E5b!D4</f>
        <v>9.5</v>
      </c>
      <c r="R4">
        <f>(1-E4)*E5b!E4</f>
        <v>10.8</v>
      </c>
      <c r="S4">
        <f>(1-F4)*E5b!F4</f>
        <v>12.75</v>
      </c>
      <c r="T4">
        <f>(1-G4)*E5b!G4</f>
        <v>16</v>
      </c>
      <c r="U4">
        <f>(1-H4)*E5b!H4</f>
        <v>30</v>
      </c>
      <c r="V4">
        <f>(1-I4)*E5b!I4</f>
        <v>50</v>
      </c>
      <c r="W4">
        <f>(1-J4)*E5b!J4</f>
        <v>80</v>
      </c>
      <c r="X4">
        <f>(1-K4)*E5b!K4</f>
        <v>150.00000000000003</v>
      </c>
      <c r="Y4">
        <f>(1-L4)*E5b!L4</f>
        <v>199.99999999999994</v>
      </c>
      <c r="Z4">
        <f>(1-M4)*E5b!M4</f>
        <v>499.99999999999989</v>
      </c>
      <c r="AB4" s="3">
        <f>(E5b!C4-P4-(E5b!B4-O4))/(E5b!C4-E5b!B4)</f>
        <v>0</v>
      </c>
      <c r="AC4" s="3">
        <f>(E5b!D4-Q4-(E5b!C4-P4))/(E5b!D4-E5b!C4)</f>
        <v>0.16666666666666666</v>
      </c>
      <c r="AD4" s="3">
        <f>(E5b!E4-R4-(E5b!D4-Q4))/(E5b!E4-E5b!D4)</f>
        <v>0.34999999999999964</v>
      </c>
      <c r="AE4" s="3">
        <f>(E5b!F4-S4-(E5b!E4-R4))/(E5b!F4-E5b!E4)</f>
        <v>0.35000000000000026</v>
      </c>
      <c r="AF4" s="3">
        <f>(E5b!G4-T4-(E5b!F4-S4))/(E5b!G4-E5b!F4)</f>
        <v>0.35</v>
      </c>
      <c r="AG4" s="3">
        <f>(E5b!H4-U4-(E5b!G4-T4))/(E5b!H4-E5b!G4)</f>
        <v>0.53333333333333333</v>
      </c>
      <c r="AH4" s="3">
        <f>(E5b!I4-V4-(E5b!H4-U4))/(E5b!I4-E5b!H4)</f>
        <v>0.6</v>
      </c>
      <c r="AI4" s="3">
        <f>(E5b!J4-W4-(E5b!I4-V4))/(E5b!J4-E5b!I4)</f>
        <v>0.7</v>
      </c>
      <c r="AJ4" s="3">
        <f>(E5b!K4-X4-(E5b!J4-W4))/(E5b!K4-E5b!J4)</f>
        <v>0.76666666666666672</v>
      </c>
      <c r="AK4" s="3">
        <f>(E5b!L4-Y4-(E5b!K4-X4))/(E5b!L4-E5b!K4)</f>
        <v>0.9</v>
      </c>
      <c r="AL4" s="3">
        <f>(E5b!M4-Z4-(E5b!L4-Y4))/(E5b!M4-E5b!L4)</f>
        <v>0.92500000000000004</v>
      </c>
      <c r="AM4" s="3"/>
    </row>
    <row r="5" spans="1:39" ht="15.75" customHeight="1" x14ac:dyDescent="0.25">
      <c r="A5" s="21">
        <v>2027</v>
      </c>
      <c r="B5" s="22">
        <f t="shared" ref="B5:M12" si="0">B4+(B$13-B$4)/9</f>
        <v>0</v>
      </c>
      <c r="C5" s="22">
        <f t="shared" si="0"/>
        <v>0</v>
      </c>
      <c r="D5" s="22">
        <f t="shared" si="0"/>
        <v>6.1111111111111116E-2</v>
      </c>
      <c r="E5" s="22">
        <f t="shared" si="0"/>
        <v>0.11111111111111112</v>
      </c>
      <c r="F5" s="22">
        <f t="shared" si="0"/>
        <v>0.16111111111111109</v>
      </c>
      <c r="G5" s="22">
        <f t="shared" si="0"/>
        <v>0.21111111111111111</v>
      </c>
      <c r="H5" s="22">
        <f t="shared" si="0"/>
        <v>0.4</v>
      </c>
      <c r="I5" s="22">
        <f t="shared" si="0"/>
        <v>0.5</v>
      </c>
      <c r="J5" s="22">
        <f t="shared" si="0"/>
        <v>0.6</v>
      </c>
      <c r="K5" s="22">
        <f t="shared" si="0"/>
        <v>0.7</v>
      </c>
      <c r="L5" s="22">
        <f t="shared" si="0"/>
        <v>0.8</v>
      </c>
      <c r="M5" s="22">
        <f t="shared" si="0"/>
        <v>0.9</v>
      </c>
      <c r="N5" s="22"/>
      <c r="O5" s="2">
        <f>(1-B5)*E5b!B5</f>
        <v>4.8888888888888893</v>
      </c>
      <c r="P5" s="2">
        <f>(1-C5)*E5b!C5</f>
        <v>6.8888888888888893</v>
      </c>
      <c r="Q5" s="2">
        <f>(1-D5)*E5b!D5</f>
        <v>9.1802469135802482</v>
      </c>
      <c r="R5" s="2">
        <f>(1-E5)*E5b!E5</f>
        <v>10.469135802469136</v>
      </c>
      <c r="S5" s="2">
        <f>(1-F5)*E5b!F5</f>
        <v>12.583333333333334</v>
      </c>
      <c r="T5">
        <f>(1-G5)*E5b!G5</f>
        <v>15.777777777777777</v>
      </c>
      <c r="U5">
        <f>(1-H5)*E5b!H5</f>
        <v>30</v>
      </c>
      <c r="V5">
        <f>(1-I5)*E5b!I5</f>
        <v>50</v>
      </c>
      <c r="W5">
        <f>(1-J5)*E5b!J5</f>
        <v>80</v>
      </c>
      <c r="X5">
        <f>(1-K5)*E5b!K5</f>
        <v>150.00000000000003</v>
      </c>
      <c r="Y5">
        <f>(1-L5)*E5b!L5</f>
        <v>199.99999999999994</v>
      </c>
      <c r="Z5">
        <f>(1-M5)*E5b!M5</f>
        <v>499.99999999999989</v>
      </c>
      <c r="AA5">
        <v>1</v>
      </c>
      <c r="AB5" s="3">
        <f>(E5b!C5-P5-(E5b!B5-O5))/(E5b!C5-E5b!B5)</f>
        <v>0</v>
      </c>
      <c r="AC5" s="3">
        <f>(E5b!D5-Q5-(E5b!C5-P5))/(E5b!D5-E5b!C5)</f>
        <v>0.20683760683760663</v>
      </c>
      <c r="AD5" s="68">
        <f>(E5b!E5-R5-(E5b!D5-Q5))/(E5b!E5-E5b!D5)</f>
        <v>0.35555555555555607</v>
      </c>
      <c r="AE5" s="68">
        <f>(E5b!F5-S5-(E5b!E5-R5))/(E5b!F5-E5b!E5)</f>
        <v>0.34386973180076602</v>
      </c>
      <c r="AF5" s="3">
        <f>(E5b!G5-T5-(E5b!F5-S5))/(E5b!G5-E5b!F5)</f>
        <v>0.36111111111111144</v>
      </c>
      <c r="AG5" s="3">
        <f>(E5b!H5-U5-(E5b!G5-T5))/(E5b!H5-E5b!G5)</f>
        <v>0.52592592592592591</v>
      </c>
      <c r="AH5" s="3">
        <f>(E5b!I5-V5-(E5b!H5-U5))/(E5b!I5-E5b!H5)</f>
        <v>0.6</v>
      </c>
      <c r="AI5" s="3">
        <f>(E5b!J5-W5-(E5b!I5-V5))/(E5b!J5-E5b!I5)</f>
        <v>0.7</v>
      </c>
      <c r="AJ5" s="3">
        <f>(E5b!K5-X5-(E5b!J5-W5))/(E5b!K5-E5b!J5)</f>
        <v>0.76666666666666672</v>
      </c>
      <c r="AK5" s="3">
        <f>(E5b!L5-Y5-(E5b!K5-X5))/(E5b!L5-E5b!K5)</f>
        <v>0.9</v>
      </c>
      <c r="AL5" s="3">
        <f>(E5b!M5-Z5-(E5b!L5-Y5))/(E5b!M5-E5b!L5)</f>
        <v>0.92500000000000004</v>
      </c>
    </row>
    <row r="6" spans="1:39" ht="15.75" customHeight="1" x14ac:dyDescent="0.25">
      <c r="A6" s="21">
        <v>2028</v>
      </c>
      <c r="B6" s="22">
        <f t="shared" si="0"/>
        <v>0</v>
      </c>
      <c r="C6" s="22">
        <f t="shared" si="0"/>
        <v>0</v>
      </c>
      <c r="D6" s="22">
        <f t="shared" si="0"/>
        <v>7.2222222222222229E-2</v>
      </c>
      <c r="E6" s="22">
        <f t="shared" si="0"/>
        <v>0.12222222222222223</v>
      </c>
      <c r="F6" s="22">
        <f t="shared" si="0"/>
        <v>0.17222222222222219</v>
      </c>
      <c r="G6" s="22">
        <f t="shared" si="0"/>
        <v>0.22222222222222221</v>
      </c>
      <c r="H6" s="22">
        <f t="shared" si="0"/>
        <v>0.4</v>
      </c>
      <c r="I6" s="22">
        <f t="shared" si="0"/>
        <v>0.5</v>
      </c>
      <c r="J6" s="22">
        <f t="shared" si="0"/>
        <v>0.6</v>
      </c>
      <c r="K6" s="22">
        <f t="shared" si="0"/>
        <v>0.7</v>
      </c>
      <c r="L6" s="22">
        <f t="shared" si="0"/>
        <v>0.8</v>
      </c>
      <c r="M6" s="22">
        <f t="shared" si="0"/>
        <v>0.9</v>
      </c>
      <c r="N6" s="22"/>
      <c r="O6" s="2">
        <f>(1-B6)*E5b!B6</f>
        <v>4.7777777777777786</v>
      </c>
      <c r="P6" s="2">
        <f>(1-C6)*E5b!C6</f>
        <v>6.7777777777777786</v>
      </c>
      <c r="Q6" s="2">
        <f>(1-D6)*E5b!D6</f>
        <v>8.8654320987654334</v>
      </c>
      <c r="R6" s="2">
        <f>(1-E6)*E5b!E6</f>
        <v>10.143209876543212</v>
      </c>
      <c r="S6" s="2">
        <f>(1-F6)*E5b!F6</f>
        <v>12.416666666666668</v>
      </c>
      <c r="T6">
        <f>(1-G6)*E5b!G6</f>
        <v>15.555555555555555</v>
      </c>
      <c r="U6">
        <f>(1-H6)*E5b!H6</f>
        <v>30</v>
      </c>
      <c r="V6">
        <f>(1-I6)*E5b!I6</f>
        <v>50</v>
      </c>
      <c r="W6">
        <f>(1-J6)*E5b!J6</f>
        <v>80</v>
      </c>
      <c r="X6">
        <f>(1-K6)*E5b!K6</f>
        <v>150.00000000000003</v>
      </c>
      <c r="Y6">
        <f>(1-L6)*E5b!L6</f>
        <v>199.99999999999994</v>
      </c>
      <c r="Z6">
        <f>(1-M6)*E5b!M6</f>
        <v>499.99999999999989</v>
      </c>
      <c r="AA6">
        <v>1</v>
      </c>
      <c r="AB6" s="3">
        <f>(E5b!C6-P6-(E5b!B6-O6))/(E5b!C6-E5b!B6)</f>
        <v>0</v>
      </c>
      <c r="AC6" s="3">
        <f>(E5b!D6-Q6-(E5b!C6-P6))/(E5b!D6-E5b!C6)</f>
        <v>0.2484444444444445</v>
      </c>
      <c r="AD6" s="68">
        <f>(E5b!E6-R6-(E5b!D6-Q6))/(E5b!E6-E5b!D6)</f>
        <v>0.36111111111111072</v>
      </c>
      <c r="AE6" s="68">
        <f>(E5b!F6-S6-(E5b!E6-R6))/(E5b!F6-E5b!E6)</f>
        <v>0.33996415770609312</v>
      </c>
      <c r="AF6" s="3">
        <f>(E5b!G6-T6-(E5b!F6-S6))/(E5b!G6-E5b!F6)</f>
        <v>0.37222222222222251</v>
      </c>
      <c r="AG6" s="3">
        <f>(E5b!H6-U6-(E5b!G6-T6))/(E5b!H6-E5b!G6)</f>
        <v>0.51851851851851849</v>
      </c>
      <c r="AH6" s="3">
        <f>(E5b!I6-V6-(E5b!H6-U6))/(E5b!I6-E5b!H6)</f>
        <v>0.6</v>
      </c>
      <c r="AI6" s="3">
        <f>(E5b!J6-W6-(E5b!I6-V6))/(E5b!J6-E5b!I6)</f>
        <v>0.7</v>
      </c>
      <c r="AJ6" s="3">
        <f>(E5b!K6-X6-(E5b!J6-W6))/(E5b!K6-E5b!J6)</f>
        <v>0.76666666666666672</v>
      </c>
      <c r="AK6" s="3">
        <f>(E5b!L6-Y6-(E5b!K6-X6))/(E5b!L6-E5b!K6)</f>
        <v>0.9</v>
      </c>
      <c r="AL6" s="3">
        <f>(E5b!M6-Z6-(E5b!L6-Y6))/(E5b!M6-E5b!L6)</f>
        <v>0.92500000000000004</v>
      </c>
    </row>
    <row r="7" spans="1:39" ht="15.75" customHeight="1" x14ac:dyDescent="0.25">
      <c r="A7" s="21">
        <v>2029</v>
      </c>
      <c r="B7" s="22">
        <f t="shared" si="0"/>
        <v>0</v>
      </c>
      <c r="C7" s="22">
        <f t="shared" si="0"/>
        <v>0</v>
      </c>
      <c r="D7" s="22">
        <f t="shared" si="0"/>
        <v>8.3333333333333343E-2</v>
      </c>
      <c r="E7" s="22">
        <f t="shared" si="0"/>
        <v>0.13333333333333333</v>
      </c>
      <c r="F7" s="22">
        <f t="shared" si="0"/>
        <v>0.18333333333333329</v>
      </c>
      <c r="G7" s="22">
        <f t="shared" si="0"/>
        <v>0.23333333333333331</v>
      </c>
      <c r="H7" s="22">
        <f t="shared" si="0"/>
        <v>0.4</v>
      </c>
      <c r="I7" s="22">
        <f t="shared" si="0"/>
        <v>0.5</v>
      </c>
      <c r="J7" s="22">
        <f t="shared" si="0"/>
        <v>0.6</v>
      </c>
      <c r="K7" s="22">
        <f t="shared" si="0"/>
        <v>0.7</v>
      </c>
      <c r="L7" s="22">
        <f t="shared" si="0"/>
        <v>0.8</v>
      </c>
      <c r="M7" s="22">
        <f t="shared" si="0"/>
        <v>0.9</v>
      </c>
      <c r="N7" s="22"/>
      <c r="O7" s="2">
        <f>(1-B7)*E5b!B7</f>
        <v>4.6666666666666679</v>
      </c>
      <c r="P7" s="2">
        <f>(1-C7)*E5b!C7</f>
        <v>6.6666666666666679</v>
      </c>
      <c r="Q7" s="2">
        <f>(1-D7)*E5b!D7</f>
        <v>8.5555555555555571</v>
      </c>
      <c r="R7" s="2">
        <f>(1-E7)*E5b!E7</f>
        <v>9.8222222222222246</v>
      </c>
      <c r="S7" s="2">
        <f>(1-F7)*E5b!F7</f>
        <v>12.25</v>
      </c>
      <c r="T7">
        <f>(1-G7)*E5b!G7</f>
        <v>15.333333333333334</v>
      </c>
      <c r="U7">
        <f>(1-H7)*E5b!H7</f>
        <v>30</v>
      </c>
      <c r="V7">
        <f>(1-I7)*E5b!I7</f>
        <v>50</v>
      </c>
      <c r="W7">
        <f>(1-J7)*E5b!J7</f>
        <v>80</v>
      </c>
      <c r="X7">
        <f>(1-K7)*E5b!K7</f>
        <v>150.00000000000003</v>
      </c>
      <c r="Y7">
        <f>(1-L7)*E5b!L7</f>
        <v>199.99999999999994</v>
      </c>
      <c r="Z7">
        <f>(1-M7)*E5b!M7</f>
        <v>499.99999999999989</v>
      </c>
      <c r="AA7">
        <v>1</v>
      </c>
      <c r="AB7" s="3">
        <f>(E5b!C7-P7-(E5b!B7-O7))/(E5b!C7-E5b!B7)</f>
        <v>0</v>
      </c>
      <c r="AC7" s="3">
        <f>(E5b!D7-Q7-(E5b!C7-P7))/(E5b!D7-E5b!C7)</f>
        <v>0.29166666666666685</v>
      </c>
      <c r="AD7" s="68">
        <f>(E5b!E7-R7-(E5b!D7-Q7))/(E5b!E7-E5b!D7)</f>
        <v>0.36666666666666625</v>
      </c>
      <c r="AE7" s="68">
        <f>(E5b!F7-S7-(E5b!E7-R7))/(E5b!F7-E5b!E7)</f>
        <v>0.33787878787878811</v>
      </c>
      <c r="AF7" s="3">
        <f>(E5b!G7-T7-(E5b!F7-S7))/(E5b!G7-E5b!F7)</f>
        <v>0.38333333333333319</v>
      </c>
      <c r="AG7" s="3">
        <f>(E5b!H7-U7-(E5b!G7-T7))/(E5b!H7-E5b!G7)</f>
        <v>0.51111111111111118</v>
      </c>
      <c r="AH7" s="3">
        <f>(E5b!I7-V7-(E5b!H7-U7))/(E5b!I7-E5b!H7)</f>
        <v>0.6</v>
      </c>
      <c r="AI7" s="3">
        <f>(E5b!J7-W7-(E5b!I7-V7))/(E5b!J7-E5b!I7)</f>
        <v>0.7</v>
      </c>
      <c r="AJ7" s="3">
        <f>(E5b!K7-X7-(E5b!J7-W7))/(E5b!K7-E5b!J7)</f>
        <v>0.76666666666666672</v>
      </c>
      <c r="AK7" s="3">
        <f>(E5b!L7-Y7-(E5b!K7-X7))/(E5b!L7-E5b!K7)</f>
        <v>0.9</v>
      </c>
      <c r="AL7" s="3">
        <f>(E5b!M7-Z7-(E5b!L7-Y7))/(E5b!M7-E5b!L7)</f>
        <v>0.92500000000000004</v>
      </c>
    </row>
    <row r="8" spans="1:39" ht="15.75" customHeight="1" x14ac:dyDescent="0.25">
      <c r="A8" s="21">
        <v>2030</v>
      </c>
      <c r="B8" s="22">
        <f t="shared" si="0"/>
        <v>0</v>
      </c>
      <c r="C8" s="22">
        <f t="shared" si="0"/>
        <v>0</v>
      </c>
      <c r="D8" s="22">
        <f t="shared" si="0"/>
        <v>9.4444444444444456E-2</v>
      </c>
      <c r="E8" s="22">
        <f t="shared" si="0"/>
        <v>0.14444444444444443</v>
      </c>
      <c r="F8" s="22">
        <f t="shared" si="0"/>
        <v>0.19444444444444439</v>
      </c>
      <c r="G8" s="22">
        <f t="shared" si="0"/>
        <v>0.24444444444444441</v>
      </c>
      <c r="H8" s="22">
        <f t="shared" si="0"/>
        <v>0.4</v>
      </c>
      <c r="I8" s="22">
        <f t="shared" si="0"/>
        <v>0.5</v>
      </c>
      <c r="J8" s="22">
        <f t="shared" si="0"/>
        <v>0.6</v>
      </c>
      <c r="K8" s="22">
        <f t="shared" si="0"/>
        <v>0.7</v>
      </c>
      <c r="L8" s="22">
        <f t="shared" si="0"/>
        <v>0.8</v>
      </c>
      <c r="M8" s="22">
        <f t="shared" si="0"/>
        <v>0.9</v>
      </c>
      <c r="N8" s="22"/>
      <c r="O8" s="2">
        <f>(1-B8)*E5b!B8</f>
        <v>4.5555555555555571</v>
      </c>
      <c r="P8" s="2">
        <f>(1-C8)*E5b!C8</f>
        <v>6.5555555555555571</v>
      </c>
      <c r="Q8" s="2">
        <f>(1-D8)*E5b!D8</f>
        <v>8.2506172839506196</v>
      </c>
      <c r="R8" s="2">
        <f>(1-E8)*E5b!E8</f>
        <v>9.506172839506176</v>
      </c>
      <c r="S8" s="2">
        <f>(1-F8)*E5b!F8</f>
        <v>12.083333333333334</v>
      </c>
      <c r="T8">
        <f>(1-G8)*E5b!G8</f>
        <v>15.111111111111111</v>
      </c>
      <c r="U8">
        <f>(1-H8)*E5b!H8</f>
        <v>30</v>
      </c>
      <c r="V8">
        <f>(1-I8)*E5b!I8</f>
        <v>50</v>
      </c>
      <c r="W8">
        <f>(1-J8)*E5b!J8</f>
        <v>80</v>
      </c>
      <c r="X8">
        <f>(1-K8)*E5b!K8</f>
        <v>150.00000000000003</v>
      </c>
      <c r="Y8">
        <f>(1-L8)*E5b!L8</f>
        <v>199.99999999999994</v>
      </c>
      <c r="Z8">
        <f>(1-M8)*E5b!M8</f>
        <v>499.99999999999989</v>
      </c>
      <c r="AA8">
        <v>1</v>
      </c>
      <c r="AB8" s="3">
        <f>(E5b!C8-P8-(E5b!B8-O8))/(E5b!C8-E5b!B8)</f>
        <v>0</v>
      </c>
      <c r="AC8" s="3">
        <f>(E5b!D8-Q8-(E5b!C8-P8))/(E5b!D8-E5b!C8)</f>
        <v>0.33671497584541077</v>
      </c>
      <c r="AD8" s="68">
        <f>(E5b!E8-R8-(E5b!D8-Q8))/(E5b!E8-E5b!D8)</f>
        <v>0.37222222222222179</v>
      </c>
      <c r="AE8" s="68">
        <f>(E5b!F8-S8-(E5b!E8-R8))/(E5b!F8-E5b!E8)</f>
        <v>0.33730158730158744</v>
      </c>
      <c r="AF8" s="3">
        <f>(E5b!G8-T8-(E5b!F8-S8))/(E5b!G8-E5b!F8)</f>
        <v>0.39444444444444465</v>
      </c>
      <c r="AG8" s="3">
        <f>(E5b!H8-U8-(E5b!G8-T8))/(E5b!H8-E5b!G8)</f>
        <v>0.50370370370370365</v>
      </c>
      <c r="AH8" s="3">
        <f>(E5b!I8-V8-(E5b!H8-U8))/(E5b!I8-E5b!H8)</f>
        <v>0.6</v>
      </c>
      <c r="AI8" s="3">
        <f>(E5b!J8-W8-(E5b!I8-V8))/(E5b!J8-E5b!I8)</f>
        <v>0.7</v>
      </c>
      <c r="AJ8" s="3">
        <f>(E5b!K8-X8-(E5b!J8-W8))/(E5b!K8-E5b!J8)</f>
        <v>0.76666666666666672</v>
      </c>
      <c r="AK8" s="3">
        <f>(E5b!L8-Y8-(E5b!K8-X8))/(E5b!L8-E5b!K8)</f>
        <v>0.9</v>
      </c>
      <c r="AL8" s="3">
        <f>(E5b!M8-Z8-(E5b!L8-Y8))/(E5b!M8-E5b!L8)</f>
        <v>0.92500000000000004</v>
      </c>
    </row>
    <row r="9" spans="1:39" ht="15.75" customHeight="1" x14ac:dyDescent="0.25">
      <c r="A9" s="21">
        <v>2031</v>
      </c>
      <c r="B9" s="22">
        <f t="shared" si="0"/>
        <v>0</v>
      </c>
      <c r="C9" s="22">
        <f t="shared" si="0"/>
        <v>0</v>
      </c>
      <c r="D9" s="22">
        <f t="shared" si="0"/>
        <v>0.10555555555555557</v>
      </c>
      <c r="E9" s="22">
        <f t="shared" si="0"/>
        <v>0.15555555555555553</v>
      </c>
      <c r="F9" s="22">
        <f t="shared" si="0"/>
        <v>0.20555555555555549</v>
      </c>
      <c r="G9" s="22">
        <f t="shared" si="0"/>
        <v>0.25555555555555554</v>
      </c>
      <c r="H9" s="22">
        <f t="shared" si="0"/>
        <v>0.4</v>
      </c>
      <c r="I9" s="22">
        <f t="shared" si="0"/>
        <v>0.5</v>
      </c>
      <c r="J9" s="22">
        <f t="shared" si="0"/>
        <v>0.6</v>
      </c>
      <c r="K9" s="22">
        <f t="shared" si="0"/>
        <v>0.7</v>
      </c>
      <c r="L9" s="22">
        <f t="shared" si="0"/>
        <v>0.8</v>
      </c>
      <c r="M9" s="22">
        <f t="shared" si="0"/>
        <v>0.9</v>
      </c>
      <c r="N9" s="22"/>
      <c r="O9" s="2">
        <f>(1-B9)*E5b!B9</f>
        <v>4.4444444444444464</v>
      </c>
      <c r="P9" s="2">
        <f>(1-C9)*E5b!C9</f>
        <v>6.4444444444444464</v>
      </c>
      <c r="Q9" s="2">
        <f>(1-D9)*E5b!D9</f>
        <v>7.9506172839506206</v>
      </c>
      <c r="R9" s="2">
        <f>(1-E9)*E5b!E9</f>
        <v>9.1950617283950642</v>
      </c>
      <c r="S9" s="2">
        <f>(1-F9)*E5b!F9</f>
        <v>11.916666666666668</v>
      </c>
      <c r="T9">
        <f>(1-G9)*E5b!G9</f>
        <v>14.888888888888889</v>
      </c>
      <c r="U9">
        <f>(1-H9)*E5b!H9</f>
        <v>30</v>
      </c>
      <c r="V9">
        <f>(1-I9)*E5b!I9</f>
        <v>50</v>
      </c>
      <c r="W9">
        <f>(1-J9)*E5b!J9</f>
        <v>80</v>
      </c>
      <c r="X9">
        <f>(1-K9)*E5b!K9</f>
        <v>150.00000000000003</v>
      </c>
      <c r="Y9">
        <f>(1-L9)*E5b!L9</f>
        <v>199.99999999999994</v>
      </c>
      <c r="Z9">
        <f>(1-M9)*E5b!M9</f>
        <v>499.99999999999989</v>
      </c>
      <c r="AA9">
        <v>1</v>
      </c>
      <c r="AB9" s="3">
        <f>(E5b!C9-P9-(E5b!B9-O9))/(E5b!C9-E5b!B9)</f>
        <v>0</v>
      </c>
      <c r="AC9" s="3">
        <f>(E5b!D9-Q9-(E5b!C9-P9))/(E5b!D9-E5b!C9)</f>
        <v>0.38383838383838376</v>
      </c>
      <c r="AD9" s="68">
        <f>(E5b!E9-R9-(E5b!D9-Q9))/(E5b!E9-E5b!D9)</f>
        <v>0.37777777777777821</v>
      </c>
      <c r="AE9" s="68">
        <f>(E5b!F9-S9-(E5b!E9-R9))/(E5b!F9-E5b!E9)</f>
        <v>0.33798798798798768</v>
      </c>
      <c r="AF9" s="3">
        <f>(E5b!G9-T9-(E5b!F9-S9))/(E5b!G9-E5b!F9)</f>
        <v>0.40555555555555572</v>
      </c>
      <c r="AG9" s="3">
        <f>(E5b!H9-U9-(E5b!G9-T9))/(E5b!H9-E5b!G9)</f>
        <v>0.49629629629629629</v>
      </c>
      <c r="AH9" s="3">
        <f>(E5b!I9-V9-(E5b!H9-U9))/(E5b!I9-E5b!H9)</f>
        <v>0.6</v>
      </c>
      <c r="AI9" s="3">
        <f>(E5b!J9-W9-(E5b!I9-V9))/(E5b!J9-E5b!I9)</f>
        <v>0.7</v>
      </c>
      <c r="AJ9" s="3">
        <f>(E5b!K9-X9-(E5b!J9-W9))/(E5b!K9-E5b!J9)</f>
        <v>0.76666666666666672</v>
      </c>
      <c r="AK9" s="3">
        <f>(E5b!L9-Y9-(E5b!K9-X9))/(E5b!L9-E5b!K9)</f>
        <v>0.9</v>
      </c>
      <c r="AL9" s="3">
        <f>(E5b!M9-Z9-(E5b!L9-Y9))/(E5b!M9-E5b!L9)</f>
        <v>0.92500000000000004</v>
      </c>
    </row>
    <row r="10" spans="1:39" ht="15.75" customHeight="1" x14ac:dyDescent="0.25">
      <c r="A10" s="21">
        <v>2032</v>
      </c>
      <c r="B10" s="22">
        <f t="shared" si="0"/>
        <v>0</v>
      </c>
      <c r="C10" s="22">
        <f t="shared" si="0"/>
        <v>0</v>
      </c>
      <c r="D10" s="22">
        <f t="shared" si="0"/>
        <v>0.11666666666666668</v>
      </c>
      <c r="E10" s="22">
        <f t="shared" si="0"/>
        <v>0.16666666666666663</v>
      </c>
      <c r="F10" s="22">
        <f t="shared" si="0"/>
        <v>0.21666666666666659</v>
      </c>
      <c r="G10" s="22">
        <f t="shared" si="0"/>
        <v>0.26666666666666666</v>
      </c>
      <c r="H10" s="22">
        <f t="shared" si="0"/>
        <v>0.4</v>
      </c>
      <c r="I10" s="22">
        <f t="shared" si="0"/>
        <v>0.5</v>
      </c>
      <c r="J10" s="22">
        <f t="shared" si="0"/>
        <v>0.6</v>
      </c>
      <c r="K10" s="22">
        <f t="shared" si="0"/>
        <v>0.7</v>
      </c>
      <c r="L10" s="22">
        <f t="shared" si="0"/>
        <v>0.8</v>
      </c>
      <c r="M10" s="22">
        <f t="shared" si="0"/>
        <v>0.9</v>
      </c>
      <c r="N10" s="22"/>
      <c r="O10" s="2">
        <f>(1-B10)*E5b!B10</f>
        <v>4.3333333333333357</v>
      </c>
      <c r="P10" s="2">
        <f>(1-C10)*E5b!C10</f>
        <v>6.3333333333333357</v>
      </c>
      <c r="Q10" s="2">
        <f>(1-D10)*E5b!D10</f>
        <v>7.6555555555555594</v>
      </c>
      <c r="R10" s="2">
        <f>(1-E10)*E5b!E10</f>
        <v>8.8888888888888928</v>
      </c>
      <c r="S10" s="2">
        <f>(1-F10)*E5b!F10</f>
        <v>11.750000000000002</v>
      </c>
      <c r="T10">
        <f>(1-G10)*E5b!G10</f>
        <v>14.666666666666668</v>
      </c>
      <c r="U10">
        <f>(1-H10)*E5b!H10</f>
        <v>30</v>
      </c>
      <c r="V10">
        <f>(1-I10)*E5b!I10</f>
        <v>50</v>
      </c>
      <c r="W10">
        <f>(1-J10)*E5b!J10</f>
        <v>80</v>
      </c>
      <c r="X10">
        <f>(1-K10)*E5b!K10</f>
        <v>150.00000000000003</v>
      </c>
      <c r="Y10">
        <f>(1-L10)*E5b!L10</f>
        <v>199.99999999999994</v>
      </c>
      <c r="Z10">
        <f>(1-M10)*E5b!M10</f>
        <v>499.99999999999989</v>
      </c>
      <c r="AA10">
        <v>2</v>
      </c>
      <c r="AB10" s="3">
        <f>(E5b!C10-P10-(E5b!B10-O10))/(E5b!C10-E5b!B10)</f>
        <v>0</v>
      </c>
      <c r="AC10" s="68">
        <f>(E5b!D10-Q10-(E5b!C10-P10))/(E5b!D10-E5b!C10)</f>
        <v>0.43333333333333324</v>
      </c>
      <c r="AD10" s="68">
        <f>(E5b!E10-R10-(E5b!D10-Q10))/(E5b!E10-E5b!D10)</f>
        <v>0.3833333333333333</v>
      </c>
      <c r="AE10" s="68">
        <f>(E5b!F10-S10-(E5b!E10-R10))/(E5b!F10-E5b!E10)</f>
        <v>0.33974358974358954</v>
      </c>
      <c r="AF10" s="3">
        <f>(E5b!G10-T10-(E5b!F10-S10))/(E5b!G10-E5b!F10)</f>
        <v>0.4166666666666668</v>
      </c>
      <c r="AG10" s="3">
        <f>(E5b!H10-U10-(E5b!G10-T10))/(E5b!H10-E5b!G10)</f>
        <v>0.48888888888888893</v>
      </c>
      <c r="AH10" s="3">
        <f>(E5b!I10-V10-(E5b!H10-U10))/(E5b!I10-E5b!H10)</f>
        <v>0.6</v>
      </c>
      <c r="AI10" s="3">
        <f>(E5b!J10-W10-(E5b!I10-V10))/(E5b!J10-E5b!I10)</f>
        <v>0.7</v>
      </c>
      <c r="AJ10" s="3">
        <f>(E5b!K10-X10-(E5b!J10-W10))/(E5b!K10-E5b!J10)</f>
        <v>0.76666666666666672</v>
      </c>
      <c r="AK10" s="3">
        <f>(E5b!L10-Y10-(E5b!K10-X10))/(E5b!L10-E5b!K10)</f>
        <v>0.9</v>
      </c>
      <c r="AL10" s="3">
        <f>(E5b!M10-Z10-(E5b!L10-Y10))/(E5b!M10-E5b!L10)</f>
        <v>0.92500000000000004</v>
      </c>
    </row>
    <row r="11" spans="1:39" ht="15.75" customHeight="1" x14ac:dyDescent="0.25">
      <c r="A11" s="21">
        <v>2033</v>
      </c>
      <c r="B11" s="22">
        <f t="shared" si="0"/>
        <v>0</v>
      </c>
      <c r="C11" s="22">
        <f t="shared" si="0"/>
        <v>0</v>
      </c>
      <c r="D11" s="22">
        <f t="shared" si="0"/>
        <v>0.1277777777777778</v>
      </c>
      <c r="E11" s="22">
        <f t="shared" si="0"/>
        <v>0.17777777777777773</v>
      </c>
      <c r="F11" s="22">
        <f t="shared" si="0"/>
        <v>0.22777777777777769</v>
      </c>
      <c r="G11" s="22">
        <f t="shared" si="0"/>
        <v>0.27777777777777779</v>
      </c>
      <c r="H11" s="22">
        <f t="shared" si="0"/>
        <v>0.4</v>
      </c>
      <c r="I11" s="22">
        <f t="shared" si="0"/>
        <v>0.5</v>
      </c>
      <c r="J11" s="22">
        <f t="shared" si="0"/>
        <v>0.6</v>
      </c>
      <c r="K11" s="22">
        <f t="shared" si="0"/>
        <v>0.7</v>
      </c>
      <c r="L11" s="22">
        <f t="shared" si="0"/>
        <v>0.8</v>
      </c>
      <c r="M11" s="22">
        <f t="shared" si="0"/>
        <v>0.9</v>
      </c>
      <c r="N11" s="22"/>
      <c r="O11" s="2">
        <f>(1-B11)*E5b!B11</f>
        <v>4.222222222222225</v>
      </c>
      <c r="P11" s="2">
        <f>(1-C11)*E5b!C11</f>
        <v>6.222222222222225</v>
      </c>
      <c r="Q11" s="2">
        <f>(1-D11)*E5b!D11</f>
        <v>7.3654320987654369</v>
      </c>
      <c r="R11" s="2">
        <f>(1-E11)*E5b!E11</f>
        <v>8.5876543209876601</v>
      </c>
      <c r="S11" s="2">
        <f>(1-F11)*E5b!F11</f>
        <v>11.583333333333336</v>
      </c>
      <c r="T11">
        <f>(1-G11)*E5b!G11</f>
        <v>14.444444444444445</v>
      </c>
      <c r="U11">
        <f>(1-H11)*E5b!H11</f>
        <v>30</v>
      </c>
      <c r="V11">
        <f>(1-I11)*E5b!I11</f>
        <v>50</v>
      </c>
      <c r="W11">
        <f>(1-J11)*E5b!J11</f>
        <v>80</v>
      </c>
      <c r="X11">
        <f>(1-K11)*E5b!K11</f>
        <v>150.00000000000003</v>
      </c>
      <c r="Y11">
        <f>(1-L11)*E5b!L11</f>
        <v>199.99999999999994</v>
      </c>
      <c r="Z11">
        <f>(1-M11)*E5b!M11</f>
        <v>499.99999999999989</v>
      </c>
      <c r="AA11">
        <v>2</v>
      </c>
      <c r="AB11" s="3">
        <f>(E5b!C11-P11-(E5b!B11-O11))/(E5b!C11-E5b!B11)</f>
        <v>0</v>
      </c>
      <c r="AC11" s="68">
        <f>(E5b!D11-Q11-(E5b!C11-P11))/(E5b!D11-E5b!C11)</f>
        <v>0.4855555555555553</v>
      </c>
      <c r="AD11" s="68">
        <f>(E5b!E11-R11-(E5b!D11-Q11))/(E5b!E11-E5b!D11)</f>
        <v>0.3888888888888884</v>
      </c>
      <c r="AE11" s="68">
        <f>(E5b!F11-S11-(E5b!E11-R11))/(E5b!F11-E5b!E11)</f>
        <v>0.34241192411924115</v>
      </c>
      <c r="AF11" s="3">
        <f>(E5b!G11-T11-(E5b!F11-S11))/(E5b!G11-E5b!F11)</f>
        <v>0.4277777777777782</v>
      </c>
      <c r="AG11" s="3">
        <f>(E5b!H11-U11-(E5b!G11-T11))/(E5b!H11-E5b!G11)</f>
        <v>0.48148148148148151</v>
      </c>
      <c r="AH11" s="3">
        <f>(E5b!I11-V11-(E5b!H11-U11))/(E5b!I11-E5b!H11)</f>
        <v>0.6</v>
      </c>
      <c r="AI11" s="3">
        <f>(E5b!J11-W11-(E5b!I11-V11))/(E5b!J11-E5b!I11)</f>
        <v>0.7</v>
      </c>
      <c r="AJ11" s="3">
        <f>(E5b!K11-X11-(E5b!J11-W11))/(E5b!K11-E5b!J11)</f>
        <v>0.76666666666666672</v>
      </c>
      <c r="AK11" s="3">
        <f>(E5b!L11-Y11-(E5b!K11-X11))/(E5b!L11-E5b!K11)</f>
        <v>0.9</v>
      </c>
      <c r="AL11" s="3">
        <f>(E5b!M11-Z11-(E5b!L11-Y11))/(E5b!M11-E5b!L11)</f>
        <v>0.92500000000000004</v>
      </c>
    </row>
    <row r="12" spans="1:39" ht="15.75" customHeight="1" x14ac:dyDescent="0.25">
      <c r="A12" s="21">
        <v>2034</v>
      </c>
      <c r="B12" s="22">
        <f t="shared" si="0"/>
        <v>0</v>
      </c>
      <c r="C12" s="22">
        <f t="shared" si="0"/>
        <v>0</v>
      </c>
      <c r="D12" s="22">
        <f t="shared" si="0"/>
        <v>0.1388888888888889</v>
      </c>
      <c r="E12" s="22">
        <f t="shared" si="0"/>
        <v>0.18888888888888883</v>
      </c>
      <c r="F12" s="22">
        <f t="shared" si="0"/>
        <v>0.23888888888888879</v>
      </c>
      <c r="G12" s="22">
        <f t="shared" si="0"/>
        <v>0.28888888888888892</v>
      </c>
      <c r="H12" s="22">
        <f t="shared" si="0"/>
        <v>0.4</v>
      </c>
      <c r="I12" s="22">
        <f t="shared" si="0"/>
        <v>0.5</v>
      </c>
      <c r="J12" s="22">
        <f t="shared" si="0"/>
        <v>0.6</v>
      </c>
      <c r="K12" s="22">
        <f t="shared" si="0"/>
        <v>0.7</v>
      </c>
      <c r="L12" s="22">
        <f t="shared" si="0"/>
        <v>0.8</v>
      </c>
      <c r="M12" s="22">
        <f t="shared" si="0"/>
        <v>0.9</v>
      </c>
      <c r="N12" s="22"/>
      <c r="O12" s="2">
        <f>(1-B12)*E5b!B12</f>
        <v>4.1111111111111143</v>
      </c>
      <c r="P12" s="2">
        <f>(1-C12)*E5b!C12</f>
        <v>6.1111111111111143</v>
      </c>
      <c r="Q12" s="2">
        <f>(1-D12)*E5b!D12</f>
        <v>7.080246913580253</v>
      </c>
      <c r="R12" s="2">
        <f>(1-E12)*E5b!E12</f>
        <v>8.2913580246913625</v>
      </c>
      <c r="S12" s="2">
        <f>(1-F12)*E5b!F12</f>
        <v>11.416666666666668</v>
      </c>
      <c r="T12">
        <f>(1-G12)*E5b!G12</f>
        <v>14.222222222222221</v>
      </c>
      <c r="U12">
        <f>(1-H12)*E5b!H12</f>
        <v>30</v>
      </c>
      <c r="V12">
        <f>(1-I12)*E5b!I12</f>
        <v>50</v>
      </c>
      <c r="W12">
        <f>(1-J12)*E5b!J12</f>
        <v>80</v>
      </c>
      <c r="X12">
        <f>(1-K12)*E5b!K12</f>
        <v>150.00000000000003</v>
      </c>
      <c r="Y12">
        <f>(1-L12)*E5b!L12</f>
        <v>199.99999999999994</v>
      </c>
      <c r="Z12">
        <f>(1-M12)*E5b!M12</f>
        <v>499.99999999999989</v>
      </c>
      <c r="AA12">
        <v>2</v>
      </c>
      <c r="AB12" s="3">
        <f>(E5b!C12-P12-(E5b!B12-O12))/(E5b!C12-E5b!B12)</f>
        <v>0</v>
      </c>
      <c r="AC12" s="68">
        <f>(E5b!D12-Q12-(E5b!C12-P12))/(E5b!D12-E5b!C12)</f>
        <v>0.54093567251461916</v>
      </c>
      <c r="AD12" s="68">
        <f>(E5b!E12-R12-(E5b!D12-Q12))/(E5b!E12-E5b!D12)</f>
        <v>0.39444444444444526</v>
      </c>
      <c r="AE12" s="68">
        <f>(E5b!F12-S12-(E5b!E12-R12))/(E5b!F12-E5b!E12)</f>
        <v>0.34586563307493523</v>
      </c>
      <c r="AF12" s="3">
        <f>(E5b!G12-T12-(E5b!F12-S12))/(E5b!G12-E5b!F12)</f>
        <v>0.43888888888888927</v>
      </c>
      <c r="AG12" s="3">
        <f>(E5b!H12-U12-(E5b!G12-T12))/(E5b!H12-E5b!G12)</f>
        <v>0.47407407407407404</v>
      </c>
      <c r="AH12" s="3">
        <f>(E5b!I12-V12-(E5b!H12-U12))/(E5b!I12-E5b!H12)</f>
        <v>0.6</v>
      </c>
      <c r="AI12" s="3">
        <f>(E5b!J12-W12-(E5b!I12-V12))/(E5b!J12-E5b!I12)</f>
        <v>0.7</v>
      </c>
      <c r="AJ12" s="3">
        <f>(E5b!K12-X12-(E5b!J12-W12))/(E5b!K12-E5b!J12)</f>
        <v>0.76666666666666672</v>
      </c>
      <c r="AK12" s="3">
        <f>(E5b!L12-Y12-(E5b!K12-X12))/(E5b!L12-E5b!K12)</f>
        <v>0.9</v>
      </c>
      <c r="AL12" s="3">
        <f>(E5b!M12-Z12-(E5b!L12-Y12))/(E5b!M12-E5b!L12)</f>
        <v>0.92500000000000004</v>
      </c>
    </row>
    <row r="13" spans="1:39" ht="15.75" customHeight="1" x14ac:dyDescent="0.25">
      <c r="A13" s="21">
        <v>2035</v>
      </c>
      <c r="B13" s="30">
        <v>0</v>
      </c>
      <c r="C13" s="30">
        <v>0</v>
      </c>
      <c r="D13" s="30">
        <v>0.15</v>
      </c>
      <c r="E13" s="30">
        <v>0.2</v>
      </c>
      <c r="F13" s="30">
        <v>0.25</v>
      </c>
      <c r="G13" s="30">
        <v>0.3</v>
      </c>
      <c r="H13" s="30">
        <v>0.4</v>
      </c>
      <c r="I13" s="30">
        <v>0.5</v>
      </c>
      <c r="J13" s="30">
        <v>0.6</v>
      </c>
      <c r="K13" s="30">
        <v>0.7</v>
      </c>
      <c r="L13" s="30">
        <v>0.8</v>
      </c>
      <c r="M13" s="30">
        <v>0.9</v>
      </c>
      <c r="N13" s="30"/>
      <c r="O13" s="2">
        <f>(1-B13)*E5b!B13</f>
        <v>4</v>
      </c>
      <c r="P13" s="2">
        <f>(1-C13)*E5b!C13</f>
        <v>6</v>
      </c>
      <c r="Q13" s="2">
        <f>(1-D13)*E5b!D13</f>
        <v>6.8</v>
      </c>
      <c r="R13" s="2">
        <f>(1-E13)*E5b!E13</f>
        <v>8</v>
      </c>
      <c r="S13" s="2">
        <f>(1-F13)*E5b!F13</f>
        <v>11.25</v>
      </c>
      <c r="T13">
        <f>(1-G13)*E5b!G13</f>
        <v>14</v>
      </c>
      <c r="U13">
        <f>(1-H13)*E5b!H13</f>
        <v>30</v>
      </c>
      <c r="V13">
        <f>(1-I13)*E5b!I13</f>
        <v>50</v>
      </c>
      <c r="W13">
        <f>(1-J13)*E5b!J13</f>
        <v>80</v>
      </c>
      <c r="X13">
        <f>(1-K13)*E5b!K13</f>
        <v>150.00000000000003</v>
      </c>
      <c r="Y13">
        <f>(1-L13)*E5b!L13</f>
        <v>199.99999999999994</v>
      </c>
      <c r="Z13">
        <f>(1-M13)*E5b!M13</f>
        <v>499.99999999999989</v>
      </c>
      <c r="AA13">
        <v>2</v>
      </c>
      <c r="AB13" s="3">
        <f>(E5b!C13-P13-(E5b!B13-O13))/(E5b!C13-E5b!B13)</f>
        <v>0</v>
      </c>
      <c r="AC13" s="68">
        <f>(E5b!D13-Q13-(E5b!C13-P13))/(E5b!D13-E5b!C13)</f>
        <v>0.60000000000000009</v>
      </c>
      <c r="AD13" s="68">
        <f>(E5b!E13-R13-(E5b!D13-Q13))/(E5b!E13-E5b!D13)</f>
        <v>0.39999999999999991</v>
      </c>
      <c r="AE13" s="68">
        <f>(E5b!F13-S13-(E5b!E13-R13))/(E5b!F13-E5b!E13)</f>
        <v>0.35</v>
      </c>
      <c r="AF13" s="3">
        <f>(E5b!G13-T13-(E5b!F13-S13))/(E5b!G13-E5b!F13)</f>
        <v>0.45</v>
      </c>
      <c r="AG13" s="3">
        <f>(E5b!H13-U13-(E5b!G13-T13))/(E5b!H13-E5b!G13)</f>
        <v>0.46666666666666667</v>
      </c>
      <c r="AH13" s="3">
        <f>(E5b!I13-V13-(E5b!H13-U13))/(E5b!I13-E5b!H13)</f>
        <v>0.6</v>
      </c>
      <c r="AI13" s="3">
        <f>(E5b!J13-W13-(E5b!I13-V13))/(E5b!J13-E5b!I13)</f>
        <v>0.7</v>
      </c>
      <c r="AJ13" s="3">
        <f>(E5b!K13-X13-(E5b!J13-W13))/(E5b!K13-E5b!J13)</f>
        <v>0.76666666666666672</v>
      </c>
      <c r="AK13" s="3">
        <f>(E5b!L13-Y13-(E5b!K13-X13))/(E5b!L13-E5b!K13)</f>
        <v>0.9</v>
      </c>
      <c r="AL13" s="3">
        <f>(E5b!M13-Z13-(E5b!L13-Y13))/(E5b!M13-E5b!L13)</f>
        <v>0.92500000000000004</v>
      </c>
    </row>
    <row r="14" spans="1:39" ht="15.75" customHeight="1" x14ac:dyDescent="0.25">
      <c r="A14" s="21">
        <v>2036</v>
      </c>
      <c r="B14" s="22">
        <f t="shared" ref="B14:M27" si="1">B13+(B$28-B$13)/15</f>
        <v>0</v>
      </c>
      <c r="C14" s="22">
        <f t="shared" si="1"/>
        <v>0</v>
      </c>
      <c r="D14" s="22">
        <f t="shared" si="1"/>
        <v>0.15</v>
      </c>
      <c r="E14" s="22">
        <f t="shared" si="1"/>
        <v>0.2</v>
      </c>
      <c r="F14" s="22">
        <f t="shared" si="1"/>
        <v>0.25</v>
      </c>
      <c r="G14" s="22">
        <f t="shared" si="1"/>
        <v>0.3</v>
      </c>
      <c r="H14" s="22">
        <f t="shared" si="1"/>
        <v>0.4</v>
      </c>
      <c r="I14" s="22">
        <f t="shared" si="1"/>
        <v>0.5</v>
      </c>
      <c r="J14" s="22">
        <f t="shared" si="1"/>
        <v>0.6</v>
      </c>
      <c r="K14" s="22">
        <f t="shared" si="1"/>
        <v>0.7</v>
      </c>
      <c r="L14" s="22">
        <f t="shared" si="1"/>
        <v>0.8</v>
      </c>
      <c r="M14" s="22">
        <f t="shared" si="1"/>
        <v>0.9</v>
      </c>
      <c r="N14" s="22"/>
      <c r="O14" s="2">
        <f>(1-B14)*E5b!B14</f>
        <v>3.9333333333333331</v>
      </c>
      <c r="P14" s="2">
        <f>(1-C14)*E5b!C14</f>
        <v>5.8666666666666663</v>
      </c>
      <c r="Q14" s="2">
        <f>(1-D14)*E5b!D14</f>
        <v>6.6866666666666665</v>
      </c>
      <c r="R14" s="2">
        <f>(1-E14)*E5b!E14</f>
        <v>7.8933333333333344</v>
      </c>
      <c r="S14" s="2">
        <f>(1-F14)*E5b!F14</f>
        <v>11.100000000000001</v>
      </c>
      <c r="T14">
        <f>(1-G14)*E5b!G14</f>
        <v>14</v>
      </c>
      <c r="U14">
        <f>(1-H14)*E5b!H14</f>
        <v>30</v>
      </c>
      <c r="V14">
        <f>(1-I14)*E5b!I14</f>
        <v>50</v>
      </c>
      <c r="W14">
        <f>(1-J14)*E5b!J14</f>
        <v>80</v>
      </c>
      <c r="X14">
        <f>(1-K14)*E5b!K14</f>
        <v>150.00000000000003</v>
      </c>
      <c r="Y14">
        <f>(1-L14)*E5b!L14</f>
        <v>199.99999999999994</v>
      </c>
      <c r="Z14">
        <f>(1-M14)*E5b!M14</f>
        <v>499.99999999999989</v>
      </c>
      <c r="AA14">
        <v>2</v>
      </c>
      <c r="AB14" s="3">
        <f>(E5b!C14-P14-(E5b!B14-O14))/(E5b!C14-E5b!B14)</f>
        <v>0</v>
      </c>
      <c r="AC14" s="68">
        <f>(E5b!D14-Q14-(E5b!C14-P14))/(E5b!D14-E5b!C14)</f>
        <v>0.58999999999999986</v>
      </c>
      <c r="AD14" s="68">
        <f>(E5b!E14-R14-(E5b!D14-Q14))/(E5b!E14-E5b!D14)</f>
        <v>0.39666666666666633</v>
      </c>
      <c r="AE14" s="68">
        <f>(E5b!F14-S14-(E5b!E14-R14))/(E5b!F14-E5b!E14)</f>
        <v>0.35</v>
      </c>
      <c r="AF14" s="3">
        <f>(E5b!G14-T14-(E5b!F14-S14))/(E5b!G14-E5b!F14)</f>
        <v>0.44230769230769251</v>
      </c>
      <c r="AG14" s="3">
        <f>(E5b!H14-U14-(E5b!G14-T14))/(E5b!H14-E5b!G14)</f>
        <v>0.46666666666666667</v>
      </c>
      <c r="AH14" s="3">
        <f>(E5b!I14-V14-(E5b!H14-U14))/(E5b!I14-E5b!H14)</f>
        <v>0.6</v>
      </c>
      <c r="AI14" s="3">
        <f>(E5b!J14-W14-(E5b!I14-V14))/(E5b!J14-E5b!I14)</f>
        <v>0.7</v>
      </c>
      <c r="AJ14" s="3">
        <f>(E5b!K14-X14-(E5b!J14-W14))/(E5b!K14-E5b!J14)</f>
        <v>0.76666666666666672</v>
      </c>
      <c r="AK14" s="3">
        <f>(E5b!L14-Y14-(E5b!K14-X14))/(E5b!L14-E5b!K14)</f>
        <v>0.9</v>
      </c>
      <c r="AL14" s="3">
        <f>(E5b!M14-Z14-(E5b!L14-Y14))/(E5b!M14-E5b!L14)</f>
        <v>0.92500000000000004</v>
      </c>
    </row>
    <row r="15" spans="1:39" ht="15.75" customHeight="1" x14ac:dyDescent="0.25">
      <c r="A15" s="21">
        <v>2037</v>
      </c>
      <c r="B15" s="22">
        <f t="shared" si="1"/>
        <v>0</v>
      </c>
      <c r="C15" s="22">
        <f t="shared" si="1"/>
        <v>0</v>
      </c>
      <c r="D15" s="22">
        <f t="shared" si="1"/>
        <v>0.15</v>
      </c>
      <c r="E15" s="22">
        <f t="shared" si="1"/>
        <v>0.2</v>
      </c>
      <c r="F15" s="22">
        <f t="shared" si="1"/>
        <v>0.25</v>
      </c>
      <c r="G15" s="22">
        <f t="shared" si="1"/>
        <v>0.3</v>
      </c>
      <c r="H15" s="22">
        <f t="shared" si="1"/>
        <v>0.4</v>
      </c>
      <c r="I15" s="22">
        <f t="shared" si="1"/>
        <v>0.5</v>
      </c>
      <c r="J15" s="22">
        <f t="shared" si="1"/>
        <v>0.6</v>
      </c>
      <c r="K15" s="22">
        <f t="shared" si="1"/>
        <v>0.7</v>
      </c>
      <c r="L15" s="22">
        <f t="shared" si="1"/>
        <v>0.8</v>
      </c>
      <c r="M15" s="22">
        <f t="shared" si="1"/>
        <v>0.9</v>
      </c>
      <c r="N15" s="22"/>
      <c r="O15" s="2">
        <f>(1-B15)*E5b!B15</f>
        <v>3.8666666666666663</v>
      </c>
      <c r="P15" s="2">
        <f>(1-C15)*E5b!C15</f>
        <v>5.7333333333333325</v>
      </c>
      <c r="Q15" s="2">
        <f>(1-D15)*E5b!D15</f>
        <v>6.5733333333333324</v>
      </c>
      <c r="R15" s="2">
        <f>(1-E15)*E5b!E15</f>
        <v>7.786666666666668</v>
      </c>
      <c r="S15" s="2">
        <f>(1-F15)*E5b!F15</f>
        <v>10.950000000000001</v>
      </c>
      <c r="T15">
        <f>(1-G15)*E5b!G15</f>
        <v>14</v>
      </c>
      <c r="U15">
        <f>(1-H15)*E5b!H15</f>
        <v>30</v>
      </c>
      <c r="V15">
        <f>(1-I15)*E5b!I15</f>
        <v>50</v>
      </c>
      <c r="W15">
        <f>(1-J15)*E5b!J15</f>
        <v>80</v>
      </c>
      <c r="X15">
        <f>(1-K15)*E5b!K15</f>
        <v>150.00000000000003</v>
      </c>
      <c r="Y15">
        <f>(1-L15)*E5b!L15</f>
        <v>199.99999999999994</v>
      </c>
      <c r="Z15">
        <f>(1-M15)*E5b!M15</f>
        <v>499.99999999999989</v>
      </c>
      <c r="AA15">
        <v>2</v>
      </c>
      <c r="AB15" s="3">
        <f>(E5b!C15-P15-(E5b!B15-O15))/(E5b!C15-E5b!B15)</f>
        <v>0</v>
      </c>
      <c r="AC15" s="68">
        <f>(E5b!D15-Q15-(E5b!C15-P15))/(E5b!D15-E5b!C15)</f>
        <v>0.58000000000000007</v>
      </c>
      <c r="AD15" s="68">
        <f>(E5b!E15-R15-(E5b!D15-Q15))/(E5b!E15-E5b!D15)</f>
        <v>0.39333333333333276</v>
      </c>
      <c r="AE15" s="68">
        <f>(E5b!F15-S15-(E5b!E15-R15))/(E5b!F15-E5b!E15)</f>
        <v>0.35000000000000009</v>
      </c>
      <c r="AF15" s="3">
        <f>(E5b!G15-T15-(E5b!F15-S15))/(E5b!G15-E5b!F15)</f>
        <v>0.43518518518518523</v>
      </c>
      <c r="AG15" s="3">
        <f>(E5b!H15-U15-(E5b!G15-T15))/(E5b!H15-E5b!G15)</f>
        <v>0.46666666666666667</v>
      </c>
      <c r="AH15" s="3">
        <f>(E5b!I15-V15-(E5b!H15-U15))/(E5b!I15-E5b!H15)</f>
        <v>0.6</v>
      </c>
      <c r="AI15" s="3">
        <f>(E5b!J15-W15-(E5b!I15-V15))/(E5b!J15-E5b!I15)</f>
        <v>0.7</v>
      </c>
      <c r="AJ15" s="3">
        <f>(E5b!K15-X15-(E5b!J15-W15))/(E5b!K15-E5b!J15)</f>
        <v>0.76666666666666672</v>
      </c>
      <c r="AK15" s="3">
        <f>(E5b!L15-Y15-(E5b!K15-X15))/(E5b!L15-E5b!K15)</f>
        <v>0.9</v>
      </c>
      <c r="AL15" s="3">
        <f>(E5b!M15-Z15-(E5b!L15-Y15))/(E5b!M15-E5b!L15)</f>
        <v>0.92500000000000004</v>
      </c>
    </row>
    <row r="16" spans="1:39" ht="15.75" customHeight="1" x14ac:dyDescent="0.25">
      <c r="A16" s="21">
        <v>2038</v>
      </c>
      <c r="B16" s="22">
        <f t="shared" si="1"/>
        <v>0</v>
      </c>
      <c r="C16" s="22">
        <f t="shared" si="1"/>
        <v>0</v>
      </c>
      <c r="D16" s="22">
        <f t="shared" si="1"/>
        <v>0.15</v>
      </c>
      <c r="E16" s="22">
        <f t="shared" si="1"/>
        <v>0.2</v>
      </c>
      <c r="F16" s="22">
        <f t="shared" si="1"/>
        <v>0.25</v>
      </c>
      <c r="G16" s="22">
        <f t="shared" si="1"/>
        <v>0.3</v>
      </c>
      <c r="H16" s="22">
        <f t="shared" si="1"/>
        <v>0.4</v>
      </c>
      <c r="I16" s="22">
        <f t="shared" si="1"/>
        <v>0.5</v>
      </c>
      <c r="J16" s="22">
        <f t="shared" si="1"/>
        <v>0.6</v>
      </c>
      <c r="K16" s="22">
        <f t="shared" si="1"/>
        <v>0.7</v>
      </c>
      <c r="L16" s="22">
        <f t="shared" si="1"/>
        <v>0.8</v>
      </c>
      <c r="M16" s="22">
        <f t="shared" si="1"/>
        <v>0.9</v>
      </c>
      <c r="N16" s="22"/>
      <c r="O16" s="2">
        <f>(1-B16)*E5b!B16</f>
        <v>3.7999999999999994</v>
      </c>
      <c r="P16" s="2">
        <f>(1-C16)*E5b!C16</f>
        <v>5.5999999999999988</v>
      </c>
      <c r="Q16" s="2">
        <f>(1-D16)*E5b!D16</f>
        <v>6.4599999999999991</v>
      </c>
      <c r="R16" s="2">
        <f>(1-E16)*E5b!E16</f>
        <v>7.6800000000000015</v>
      </c>
      <c r="S16" s="2">
        <f>(1-F16)*E5b!F16</f>
        <v>10.8</v>
      </c>
      <c r="T16">
        <f>(1-G16)*E5b!G16</f>
        <v>14</v>
      </c>
      <c r="U16">
        <f>(1-H16)*E5b!H16</f>
        <v>30</v>
      </c>
      <c r="V16">
        <f>(1-I16)*E5b!I16</f>
        <v>50</v>
      </c>
      <c r="W16">
        <f>(1-J16)*E5b!J16</f>
        <v>80</v>
      </c>
      <c r="X16">
        <f>(1-K16)*E5b!K16</f>
        <v>150.00000000000003</v>
      </c>
      <c r="Y16">
        <f>(1-L16)*E5b!L16</f>
        <v>199.99999999999994</v>
      </c>
      <c r="Z16">
        <f>(1-M16)*E5b!M16</f>
        <v>499.99999999999989</v>
      </c>
      <c r="AA16">
        <v>2</v>
      </c>
      <c r="AB16" s="3">
        <f>(E5b!C16-P16-(E5b!B16-O16))/(E5b!C16-E5b!B16)</f>
        <v>0</v>
      </c>
      <c r="AC16" s="68">
        <f>(E5b!D16-Q16-(E5b!C16-P16))/(E5b!D16-E5b!C16)</f>
        <v>0.56999999999999984</v>
      </c>
      <c r="AD16" s="68">
        <f>(E5b!E16-R16-(E5b!D16-Q16))/(E5b!E16-E5b!D16)</f>
        <v>0.38999999999999962</v>
      </c>
      <c r="AE16" s="68">
        <f>(E5b!F16-S16-(E5b!E16-R16))/(E5b!F16-E5b!E16)</f>
        <v>0.35000000000000026</v>
      </c>
      <c r="AF16" s="3">
        <f>(E5b!G16-T16-(E5b!F16-S16))/(E5b!G16-E5b!F16)</f>
        <v>0.42857142857142849</v>
      </c>
      <c r="AG16" s="3">
        <f>(E5b!H16-U16-(E5b!G16-T16))/(E5b!H16-E5b!G16)</f>
        <v>0.46666666666666667</v>
      </c>
      <c r="AH16" s="3">
        <f>(E5b!I16-V16-(E5b!H16-U16))/(E5b!I16-E5b!H16)</f>
        <v>0.6</v>
      </c>
      <c r="AI16" s="3">
        <f>(E5b!J16-W16-(E5b!I16-V16))/(E5b!J16-E5b!I16)</f>
        <v>0.7</v>
      </c>
      <c r="AJ16" s="3">
        <f>(E5b!K16-X16-(E5b!J16-W16))/(E5b!K16-E5b!J16)</f>
        <v>0.76666666666666672</v>
      </c>
      <c r="AK16" s="3">
        <f>(E5b!L16-Y16-(E5b!K16-X16))/(E5b!L16-E5b!K16)</f>
        <v>0.9</v>
      </c>
      <c r="AL16" s="3">
        <f>(E5b!M16-Z16-(E5b!L16-Y16))/(E5b!M16-E5b!L16)</f>
        <v>0.92500000000000004</v>
      </c>
    </row>
    <row r="17" spans="1:38" ht="15.75" customHeight="1" x14ac:dyDescent="0.25">
      <c r="A17" s="21">
        <v>2039</v>
      </c>
      <c r="B17" s="22">
        <f t="shared" si="1"/>
        <v>0</v>
      </c>
      <c r="C17" s="22">
        <f t="shared" si="1"/>
        <v>0</v>
      </c>
      <c r="D17" s="22">
        <f t="shared" si="1"/>
        <v>0.15</v>
      </c>
      <c r="E17" s="22">
        <f t="shared" si="1"/>
        <v>0.2</v>
      </c>
      <c r="F17" s="22">
        <f t="shared" si="1"/>
        <v>0.25</v>
      </c>
      <c r="G17" s="22">
        <f t="shared" si="1"/>
        <v>0.3</v>
      </c>
      <c r="H17" s="22">
        <f t="shared" si="1"/>
        <v>0.4</v>
      </c>
      <c r="I17" s="22">
        <f t="shared" si="1"/>
        <v>0.5</v>
      </c>
      <c r="J17" s="22">
        <f t="shared" si="1"/>
        <v>0.6</v>
      </c>
      <c r="K17" s="22">
        <f t="shared" si="1"/>
        <v>0.7</v>
      </c>
      <c r="L17" s="22">
        <f t="shared" si="1"/>
        <v>0.8</v>
      </c>
      <c r="M17" s="22">
        <f t="shared" si="1"/>
        <v>0.9</v>
      </c>
      <c r="N17" s="22"/>
      <c r="O17" s="2">
        <f>(1-B17)*E5b!B17</f>
        <v>3.7333333333333325</v>
      </c>
      <c r="P17" s="2">
        <f>(1-C17)*E5b!C17</f>
        <v>5.466666666666665</v>
      </c>
      <c r="Q17" s="2">
        <f>(1-D17)*E5b!D17</f>
        <v>6.3466666666666649</v>
      </c>
      <c r="R17" s="2">
        <f>(1-E17)*E5b!E17</f>
        <v>7.573333333333335</v>
      </c>
      <c r="S17" s="2">
        <f>(1-F17)*E5b!F17</f>
        <v>10.650000000000002</v>
      </c>
      <c r="T17">
        <f>(1-G17)*E5b!G17</f>
        <v>14</v>
      </c>
      <c r="U17">
        <f>(1-H17)*E5b!H17</f>
        <v>30</v>
      </c>
      <c r="V17">
        <f>(1-I17)*E5b!I17</f>
        <v>50</v>
      </c>
      <c r="W17">
        <f>(1-J17)*E5b!J17</f>
        <v>80</v>
      </c>
      <c r="X17">
        <f>(1-K17)*E5b!K17</f>
        <v>150.00000000000003</v>
      </c>
      <c r="Y17">
        <f>(1-L17)*E5b!L17</f>
        <v>199.99999999999994</v>
      </c>
      <c r="Z17">
        <f>(1-M17)*E5b!M17</f>
        <v>499.99999999999989</v>
      </c>
      <c r="AA17">
        <v>2</v>
      </c>
      <c r="AB17" s="3">
        <f>(E5b!C17-P17-(E5b!B17-O17))/(E5b!C17-E5b!B17)</f>
        <v>0</v>
      </c>
      <c r="AC17" s="68">
        <f>(E5b!D17-Q17-(E5b!C17-P17))/(E5b!D17-E5b!C17)</f>
        <v>0.56000000000000005</v>
      </c>
      <c r="AD17" s="68">
        <f>(E5b!E17-R17-(E5b!D17-Q17))/(E5b!E17-E5b!D17)</f>
        <v>0.38666666666666605</v>
      </c>
      <c r="AE17" s="68">
        <f>(E5b!F17-S17-(E5b!E17-R17))/(E5b!F17-E5b!E17)</f>
        <v>0.35000000000000003</v>
      </c>
      <c r="AF17" s="3">
        <f>(E5b!G17-T17-(E5b!F17-S17))/(E5b!G17-E5b!F17)</f>
        <v>0.42241379310344834</v>
      </c>
      <c r="AG17" s="3">
        <f>(E5b!H17-U17-(E5b!G17-T17))/(E5b!H17-E5b!G17)</f>
        <v>0.46666666666666667</v>
      </c>
      <c r="AH17" s="3">
        <f>(E5b!I17-V17-(E5b!H17-U17))/(E5b!I17-E5b!H17)</f>
        <v>0.6</v>
      </c>
      <c r="AI17" s="3">
        <f>(E5b!J17-W17-(E5b!I17-V17))/(E5b!J17-E5b!I17)</f>
        <v>0.7</v>
      </c>
      <c r="AJ17" s="3">
        <f>(E5b!K17-X17-(E5b!J17-W17))/(E5b!K17-E5b!J17)</f>
        <v>0.76666666666666672</v>
      </c>
      <c r="AK17" s="3">
        <f>(E5b!L17-Y17-(E5b!K17-X17))/(E5b!L17-E5b!K17)</f>
        <v>0.9</v>
      </c>
      <c r="AL17" s="3">
        <f>(E5b!M17-Z17-(E5b!L17-Y17))/(E5b!M17-E5b!L17)</f>
        <v>0.92500000000000004</v>
      </c>
    </row>
    <row r="18" spans="1:38" ht="15.75" customHeight="1" x14ac:dyDescent="0.25">
      <c r="A18" s="21">
        <v>2040</v>
      </c>
      <c r="B18" s="22">
        <f t="shared" si="1"/>
        <v>0</v>
      </c>
      <c r="C18" s="22">
        <f t="shared" si="1"/>
        <v>0</v>
      </c>
      <c r="D18" s="22">
        <f t="shared" si="1"/>
        <v>0.15</v>
      </c>
      <c r="E18" s="22">
        <f t="shared" si="1"/>
        <v>0.2</v>
      </c>
      <c r="F18" s="22">
        <f t="shared" si="1"/>
        <v>0.25</v>
      </c>
      <c r="G18" s="22">
        <f t="shared" si="1"/>
        <v>0.3</v>
      </c>
      <c r="H18" s="22">
        <f t="shared" si="1"/>
        <v>0.4</v>
      </c>
      <c r="I18" s="22">
        <f t="shared" si="1"/>
        <v>0.5</v>
      </c>
      <c r="J18" s="22">
        <f t="shared" si="1"/>
        <v>0.6</v>
      </c>
      <c r="K18" s="22">
        <f t="shared" si="1"/>
        <v>0.7</v>
      </c>
      <c r="L18" s="22">
        <f t="shared" si="1"/>
        <v>0.8</v>
      </c>
      <c r="M18" s="22">
        <f t="shared" si="1"/>
        <v>0.9</v>
      </c>
      <c r="N18" s="22"/>
      <c r="O18" s="2">
        <f>(1-B18)*E5b!B18</f>
        <v>3.6666666666666656</v>
      </c>
      <c r="P18" s="2">
        <f>(1-C18)*E5b!C18</f>
        <v>5.3333333333333313</v>
      </c>
      <c r="Q18" s="2">
        <f>(1-D18)*E5b!D18</f>
        <v>6.2333333333333316</v>
      </c>
      <c r="R18" s="2">
        <f>(1-E18)*E5b!E18</f>
        <v>7.4666666666666686</v>
      </c>
      <c r="S18" s="2">
        <f>(1-F18)*E5b!F18</f>
        <v>10.500000000000004</v>
      </c>
      <c r="T18">
        <f>(1-G18)*E5b!G18</f>
        <v>14</v>
      </c>
      <c r="U18">
        <f>(1-H18)*E5b!H18</f>
        <v>30</v>
      </c>
      <c r="V18">
        <f>(1-I18)*E5b!I18</f>
        <v>50</v>
      </c>
      <c r="W18">
        <f>(1-J18)*E5b!J18</f>
        <v>80</v>
      </c>
      <c r="X18">
        <f>(1-K18)*E5b!K18</f>
        <v>150.00000000000003</v>
      </c>
      <c r="Y18">
        <f>(1-L18)*E5b!L18</f>
        <v>199.99999999999994</v>
      </c>
      <c r="Z18">
        <f>(1-M18)*E5b!M18</f>
        <v>499.99999999999989</v>
      </c>
      <c r="AA18">
        <v>2</v>
      </c>
      <c r="AB18" s="3">
        <f>(E5b!C18-P18-(E5b!B18-O18))/(E5b!C18-E5b!B18)</f>
        <v>0</v>
      </c>
      <c r="AC18" s="68">
        <f>(E5b!D18-Q18-(E5b!C18-P18))/(E5b!D18-E5b!C18)</f>
        <v>0.54999999999999982</v>
      </c>
      <c r="AD18" s="68">
        <f>(E5b!E18-R18-(E5b!D18-Q18))/(E5b!E18-E5b!D18)</f>
        <v>0.38333333333333292</v>
      </c>
      <c r="AE18" s="68">
        <f>(E5b!F18-S18-(E5b!E18-R18))/(E5b!F18-E5b!E18)</f>
        <v>0.34999999999999981</v>
      </c>
      <c r="AF18" s="3">
        <f>(E5b!G18-T18-(E5b!F18-S18))/(E5b!G18-E5b!F18)</f>
        <v>0.41666666666666691</v>
      </c>
      <c r="AG18" s="3">
        <f>(E5b!H18-U18-(E5b!G18-T18))/(E5b!H18-E5b!G18)</f>
        <v>0.46666666666666667</v>
      </c>
      <c r="AH18" s="3">
        <f>(E5b!I18-V18-(E5b!H18-U18))/(E5b!I18-E5b!H18)</f>
        <v>0.6</v>
      </c>
      <c r="AI18" s="3">
        <f>(E5b!J18-W18-(E5b!I18-V18))/(E5b!J18-E5b!I18)</f>
        <v>0.7</v>
      </c>
      <c r="AJ18" s="3">
        <f>(E5b!K18-X18-(E5b!J18-W18))/(E5b!K18-E5b!J18)</f>
        <v>0.76666666666666672</v>
      </c>
      <c r="AK18" s="3">
        <f>(E5b!L18-Y18-(E5b!K18-X18))/(E5b!L18-E5b!K18)</f>
        <v>0.9</v>
      </c>
      <c r="AL18" s="3">
        <f>(E5b!M18-Z18-(E5b!L18-Y18))/(E5b!M18-E5b!L18)</f>
        <v>0.92500000000000004</v>
      </c>
    </row>
    <row r="19" spans="1:38" ht="15.75" customHeight="1" x14ac:dyDescent="0.25">
      <c r="A19" s="21">
        <v>2041</v>
      </c>
      <c r="B19" s="22">
        <f t="shared" si="1"/>
        <v>0</v>
      </c>
      <c r="C19" s="22">
        <f t="shared" si="1"/>
        <v>0</v>
      </c>
      <c r="D19" s="22">
        <f t="shared" si="1"/>
        <v>0.15</v>
      </c>
      <c r="E19" s="22">
        <f t="shared" si="1"/>
        <v>0.2</v>
      </c>
      <c r="F19" s="22">
        <f t="shared" si="1"/>
        <v>0.25</v>
      </c>
      <c r="G19" s="22">
        <f t="shared" si="1"/>
        <v>0.3</v>
      </c>
      <c r="H19" s="22">
        <f t="shared" si="1"/>
        <v>0.4</v>
      </c>
      <c r="I19" s="22">
        <f t="shared" si="1"/>
        <v>0.5</v>
      </c>
      <c r="J19" s="22">
        <f t="shared" si="1"/>
        <v>0.6</v>
      </c>
      <c r="K19" s="22">
        <f t="shared" si="1"/>
        <v>0.7</v>
      </c>
      <c r="L19" s="22">
        <f t="shared" si="1"/>
        <v>0.8</v>
      </c>
      <c r="M19" s="22">
        <f t="shared" si="1"/>
        <v>0.9</v>
      </c>
      <c r="N19" s="22"/>
      <c r="O19" s="2">
        <f>(1-B19)*E5b!B19</f>
        <v>3.5999999999999988</v>
      </c>
      <c r="P19" s="2">
        <f>(1-C19)*E5b!C19</f>
        <v>5.1999999999999975</v>
      </c>
      <c r="Q19" s="2">
        <f>(1-D19)*E5b!D19</f>
        <v>6.1199999999999974</v>
      </c>
      <c r="R19" s="2">
        <f>(1-E19)*E5b!E19</f>
        <v>7.360000000000003</v>
      </c>
      <c r="S19" s="2">
        <f>(1-F19)*E5b!F19</f>
        <v>10.350000000000003</v>
      </c>
      <c r="T19">
        <f>(1-G19)*E5b!G19</f>
        <v>14</v>
      </c>
      <c r="U19">
        <f>(1-H19)*E5b!H19</f>
        <v>30</v>
      </c>
      <c r="V19">
        <f>(1-I19)*E5b!I19</f>
        <v>50</v>
      </c>
      <c r="W19">
        <f>(1-J19)*E5b!J19</f>
        <v>80</v>
      </c>
      <c r="X19">
        <f>(1-K19)*E5b!K19</f>
        <v>150.00000000000003</v>
      </c>
      <c r="Y19">
        <f>(1-L19)*E5b!L19</f>
        <v>199.99999999999994</v>
      </c>
      <c r="Z19">
        <f>(1-M19)*E5b!M19</f>
        <v>499.99999999999989</v>
      </c>
      <c r="AA19">
        <v>2</v>
      </c>
      <c r="AB19" s="3">
        <f>(E5b!C19-P19-(E5b!B19-O19))/(E5b!C19-E5b!B19)</f>
        <v>0</v>
      </c>
      <c r="AC19" s="68">
        <f>(E5b!D19-Q19-(E5b!C19-P19))/(E5b!D19-E5b!C19)</f>
        <v>0.54</v>
      </c>
      <c r="AD19" s="68">
        <f>(E5b!E19-R19-(E5b!D19-Q19))/(E5b!E19-E5b!D19)</f>
        <v>0.37999999999999889</v>
      </c>
      <c r="AE19" s="68">
        <f>(E5b!F19-S19-(E5b!E19-R19))/(E5b!F19-E5b!E19)</f>
        <v>0.35000000000000014</v>
      </c>
      <c r="AF19" s="3">
        <f>(E5b!G19-T19-(E5b!F19-S19))/(E5b!G19-E5b!F19)</f>
        <v>0.4112903225806453</v>
      </c>
      <c r="AG19" s="3">
        <f>(E5b!H19-U19-(E5b!G19-T19))/(E5b!H19-E5b!G19)</f>
        <v>0.46666666666666667</v>
      </c>
      <c r="AH19" s="3">
        <f>(E5b!I19-V19-(E5b!H19-U19))/(E5b!I19-E5b!H19)</f>
        <v>0.6</v>
      </c>
      <c r="AI19" s="3">
        <f>(E5b!J19-W19-(E5b!I19-V19))/(E5b!J19-E5b!I19)</f>
        <v>0.7</v>
      </c>
      <c r="AJ19" s="3">
        <f>(E5b!K19-X19-(E5b!J19-W19))/(E5b!K19-E5b!J19)</f>
        <v>0.76666666666666672</v>
      </c>
      <c r="AK19" s="3">
        <f>(E5b!L19-Y19-(E5b!K19-X19))/(E5b!L19-E5b!K19)</f>
        <v>0.9</v>
      </c>
      <c r="AL19" s="3">
        <f>(E5b!M19-Z19-(E5b!L19-Y19))/(E5b!M19-E5b!L19)</f>
        <v>0.92500000000000004</v>
      </c>
    </row>
    <row r="20" spans="1:38" ht="15.75" customHeight="1" x14ac:dyDescent="0.25">
      <c r="A20" s="21">
        <v>2042</v>
      </c>
      <c r="B20" s="22">
        <f t="shared" si="1"/>
        <v>0</v>
      </c>
      <c r="C20" s="22">
        <f t="shared" si="1"/>
        <v>0</v>
      </c>
      <c r="D20" s="22">
        <f t="shared" si="1"/>
        <v>0.15</v>
      </c>
      <c r="E20" s="22">
        <f t="shared" si="1"/>
        <v>0.2</v>
      </c>
      <c r="F20" s="22">
        <f t="shared" si="1"/>
        <v>0.25</v>
      </c>
      <c r="G20" s="22">
        <f t="shared" si="1"/>
        <v>0.3</v>
      </c>
      <c r="H20" s="22">
        <f t="shared" si="1"/>
        <v>0.4</v>
      </c>
      <c r="I20" s="22">
        <f t="shared" si="1"/>
        <v>0.5</v>
      </c>
      <c r="J20" s="22">
        <f t="shared" si="1"/>
        <v>0.6</v>
      </c>
      <c r="K20" s="22">
        <f t="shared" si="1"/>
        <v>0.7</v>
      </c>
      <c r="L20" s="22">
        <f t="shared" si="1"/>
        <v>0.8</v>
      </c>
      <c r="M20" s="22">
        <f t="shared" si="1"/>
        <v>0.9</v>
      </c>
      <c r="N20" s="22"/>
      <c r="O20" s="2">
        <f>(1-B20)*E5b!B20</f>
        <v>3.5333333333333319</v>
      </c>
      <c r="P20" s="2">
        <f>(1-C20)*E5b!C20</f>
        <v>5.0666666666666638</v>
      </c>
      <c r="Q20" s="2">
        <f>(1-D20)*E5b!D20</f>
        <v>6.0066666666666642</v>
      </c>
      <c r="R20" s="2">
        <f>(1-E20)*E5b!E20</f>
        <v>7.2533333333333365</v>
      </c>
      <c r="S20" s="2">
        <f>(1-F20)*E5b!F20</f>
        <v>10.200000000000003</v>
      </c>
      <c r="T20">
        <f>(1-G20)*E5b!G20</f>
        <v>14</v>
      </c>
      <c r="U20">
        <f>(1-H20)*E5b!H20</f>
        <v>30</v>
      </c>
      <c r="V20">
        <f>(1-I20)*E5b!I20</f>
        <v>50</v>
      </c>
      <c r="W20">
        <f>(1-J20)*E5b!J20</f>
        <v>80</v>
      </c>
      <c r="X20">
        <f>(1-K20)*E5b!K20</f>
        <v>150.00000000000003</v>
      </c>
      <c r="Y20">
        <f>(1-L20)*E5b!L20</f>
        <v>199.99999999999994</v>
      </c>
      <c r="Z20">
        <f>(1-M20)*E5b!M20</f>
        <v>499.99999999999989</v>
      </c>
      <c r="AA20">
        <v>2</v>
      </c>
      <c r="AB20" s="3">
        <f>(E5b!C20-P20-(E5b!B20-O20))/(E5b!C20-E5b!B20)</f>
        <v>0</v>
      </c>
      <c r="AC20" s="68">
        <f>(E5b!D20-Q20-(E5b!C20-P20))/(E5b!D20-E5b!C20)</f>
        <v>0.5299999999999998</v>
      </c>
      <c r="AD20" s="68">
        <f>(E5b!E20-R20-(E5b!D20-Q20))/(E5b!E20-E5b!D20)</f>
        <v>0.37666666666666576</v>
      </c>
      <c r="AE20" s="68">
        <f>(E5b!F20-S20-(E5b!E20-R20))/(E5b!F20-E5b!E20)</f>
        <v>0.35000000000000031</v>
      </c>
      <c r="AF20" s="3">
        <f>(E5b!G20-T20-(E5b!F20-S20))/(E5b!G20-E5b!F20)</f>
        <v>0.40625</v>
      </c>
      <c r="AG20" s="3">
        <f>(E5b!H20-U20-(E5b!G20-T20))/(E5b!H20-E5b!G20)</f>
        <v>0.46666666666666667</v>
      </c>
      <c r="AH20" s="3">
        <f>(E5b!I20-V20-(E5b!H20-U20))/(E5b!I20-E5b!H20)</f>
        <v>0.6</v>
      </c>
      <c r="AI20" s="3">
        <f>(E5b!J20-W20-(E5b!I20-V20))/(E5b!J20-E5b!I20)</f>
        <v>0.7</v>
      </c>
      <c r="AJ20" s="3">
        <f>(E5b!K20-X20-(E5b!J20-W20))/(E5b!K20-E5b!J20)</f>
        <v>0.76666666666666672</v>
      </c>
      <c r="AK20" s="3">
        <f>(E5b!L20-Y20-(E5b!K20-X20))/(E5b!L20-E5b!K20)</f>
        <v>0.9</v>
      </c>
      <c r="AL20" s="3">
        <f>(E5b!M20-Z20-(E5b!L20-Y20))/(E5b!M20-E5b!L20)</f>
        <v>0.92500000000000004</v>
      </c>
    </row>
    <row r="21" spans="1:38" ht="15.75" customHeight="1" x14ac:dyDescent="0.25">
      <c r="A21" s="21">
        <v>2043</v>
      </c>
      <c r="B21" s="22">
        <f t="shared" si="1"/>
        <v>0</v>
      </c>
      <c r="C21" s="22">
        <f t="shared" si="1"/>
        <v>0</v>
      </c>
      <c r="D21" s="22">
        <f t="shared" si="1"/>
        <v>0.15</v>
      </c>
      <c r="E21" s="22">
        <f t="shared" si="1"/>
        <v>0.2</v>
      </c>
      <c r="F21" s="22">
        <f t="shared" si="1"/>
        <v>0.25</v>
      </c>
      <c r="G21" s="22">
        <f t="shared" si="1"/>
        <v>0.3</v>
      </c>
      <c r="H21" s="22">
        <f t="shared" si="1"/>
        <v>0.4</v>
      </c>
      <c r="I21" s="22">
        <f t="shared" si="1"/>
        <v>0.5</v>
      </c>
      <c r="J21" s="22">
        <f t="shared" si="1"/>
        <v>0.6</v>
      </c>
      <c r="K21" s="22">
        <f t="shared" si="1"/>
        <v>0.7</v>
      </c>
      <c r="L21" s="22">
        <f t="shared" si="1"/>
        <v>0.8</v>
      </c>
      <c r="M21" s="22">
        <f t="shared" si="1"/>
        <v>0.9</v>
      </c>
      <c r="N21" s="22"/>
      <c r="O21" s="2">
        <f>(1-B21)*E5b!B21</f>
        <v>3.466666666666665</v>
      </c>
      <c r="P21" s="2">
        <f>(1-C21)*E5b!C21</f>
        <v>4.93333333333333</v>
      </c>
      <c r="Q21" s="2">
        <f>(1-D21)*E5b!D21</f>
        <v>5.89333333333333</v>
      </c>
      <c r="R21" s="2">
        <f>(1-E21)*E5b!E21</f>
        <v>7.1466666666666701</v>
      </c>
      <c r="S21" s="2">
        <f>(1-F21)*E5b!F21</f>
        <v>10.050000000000004</v>
      </c>
      <c r="T21">
        <f>(1-G21)*E5b!G21</f>
        <v>14</v>
      </c>
      <c r="U21">
        <f>(1-H21)*E5b!H21</f>
        <v>30</v>
      </c>
      <c r="V21">
        <f>(1-I21)*E5b!I21</f>
        <v>50</v>
      </c>
      <c r="W21">
        <f>(1-J21)*E5b!J21</f>
        <v>80</v>
      </c>
      <c r="X21">
        <f>(1-K21)*E5b!K21</f>
        <v>150.00000000000003</v>
      </c>
      <c r="Y21">
        <f>(1-L21)*E5b!L21</f>
        <v>199.99999999999994</v>
      </c>
      <c r="Z21">
        <f>(1-M21)*E5b!M21</f>
        <v>499.99999999999989</v>
      </c>
      <c r="AA21">
        <v>2</v>
      </c>
      <c r="AB21" s="3">
        <f>(E5b!C21-P21-(E5b!B21-O21))/(E5b!C21-E5b!B21)</f>
        <v>0</v>
      </c>
      <c r="AC21" s="68">
        <f>(E5b!D21-Q21-(E5b!C21-P21))/(E5b!D21-E5b!C21)</f>
        <v>0.52</v>
      </c>
      <c r="AD21" s="68">
        <f>(E5b!E21-R21-(E5b!D21-Q21))/(E5b!E21-E5b!D21)</f>
        <v>0.37333333333333218</v>
      </c>
      <c r="AE21" s="68">
        <f>(E5b!F21-S21-(E5b!E21-R21))/(E5b!F21-E5b!E21)</f>
        <v>0.35000000000000009</v>
      </c>
      <c r="AF21" s="3">
        <f>(E5b!G21-T21-(E5b!F21-S21))/(E5b!G21-E5b!F21)</f>
        <v>0.40151515151515166</v>
      </c>
      <c r="AG21" s="3">
        <f>(E5b!H21-U21-(E5b!G21-T21))/(E5b!H21-E5b!G21)</f>
        <v>0.46666666666666667</v>
      </c>
      <c r="AH21" s="3">
        <f>(E5b!I21-V21-(E5b!H21-U21))/(E5b!I21-E5b!H21)</f>
        <v>0.6</v>
      </c>
      <c r="AI21" s="3">
        <f>(E5b!J21-W21-(E5b!I21-V21))/(E5b!J21-E5b!I21)</f>
        <v>0.7</v>
      </c>
      <c r="AJ21" s="3">
        <f>(E5b!K21-X21-(E5b!J21-W21))/(E5b!K21-E5b!J21)</f>
        <v>0.76666666666666672</v>
      </c>
      <c r="AK21" s="3">
        <f>(E5b!L21-Y21-(E5b!K21-X21))/(E5b!L21-E5b!K21)</f>
        <v>0.9</v>
      </c>
      <c r="AL21" s="3">
        <f>(E5b!M21-Z21-(E5b!L21-Y21))/(E5b!M21-E5b!L21)</f>
        <v>0.92500000000000004</v>
      </c>
    </row>
    <row r="22" spans="1:38" ht="15.75" customHeight="1" x14ac:dyDescent="0.25">
      <c r="A22" s="21">
        <v>2044</v>
      </c>
      <c r="B22" s="22">
        <f t="shared" si="1"/>
        <v>0</v>
      </c>
      <c r="C22" s="22">
        <f t="shared" si="1"/>
        <v>0</v>
      </c>
      <c r="D22" s="22">
        <f t="shared" si="1"/>
        <v>0.15</v>
      </c>
      <c r="E22" s="22">
        <f t="shared" si="1"/>
        <v>0.2</v>
      </c>
      <c r="F22" s="22">
        <f t="shared" si="1"/>
        <v>0.25</v>
      </c>
      <c r="G22" s="22">
        <f t="shared" si="1"/>
        <v>0.3</v>
      </c>
      <c r="H22" s="22">
        <f t="shared" si="1"/>
        <v>0.4</v>
      </c>
      <c r="I22" s="22">
        <f t="shared" si="1"/>
        <v>0.5</v>
      </c>
      <c r="J22" s="22">
        <f t="shared" si="1"/>
        <v>0.6</v>
      </c>
      <c r="K22" s="22">
        <f t="shared" si="1"/>
        <v>0.7</v>
      </c>
      <c r="L22" s="22">
        <f t="shared" si="1"/>
        <v>0.8</v>
      </c>
      <c r="M22" s="22">
        <f t="shared" si="1"/>
        <v>0.9</v>
      </c>
      <c r="N22" s="22"/>
      <c r="O22" s="2">
        <f>(1-B22)*E5b!B22</f>
        <v>3.3999999999999981</v>
      </c>
      <c r="P22" s="2">
        <f>(1-C22)*E5b!C22</f>
        <v>4.7999999999999963</v>
      </c>
      <c r="Q22" s="2">
        <f>(1-D22)*E5b!D22</f>
        <v>5.7799999999999967</v>
      </c>
      <c r="R22" s="2">
        <f>(1-E22)*E5b!E22</f>
        <v>7.0400000000000036</v>
      </c>
      <c r="S22" s="2">
        <f>(1-F22)*E5b!F22</f>
        <v>9.9000000000000057</v>
      </c>
      <c r="T22">
        <f>(1-G22)*E5b!G22</f>
        <v>14</v>
      </c>
      <c r="U22">
        <f>(1-H22)*E5b!H22</f>
        <v>30</v>
      </c>
      <c r="V22">
        <f>(1-I22)*E5b!I22</f>
        <v>50</v>
      </c>
      <c r="W22">
        <f>(1-J22)*E5b!J22</f>
        <v>80</v>
      </c>
      <c r="X22">
        <f>(1-K22)*E5b!K22</f>
        <v>150.00000000000003</v>
      </c>
      <c r="Y22">
        <f>(1-L22)*E5b!L22</f>
        <v>199.99999999999994</v>
      </c>
      <c r="Z22">
        <f>(1-M22)*E5b!M22</f>
        <v>499.99999999999989</v>
      </c>
      <c r="AA22">
        <v>2</v>
      </c>
      <c r="AB22" s="3">
        <f>(E5b!C22-P22-(E5b!B22-O22))/(E5b!C22-E5b!B22)</f>
        <v>0</v>
      </c>
      <c r="AC22" s="68">
        <f>(E5b!D22-Q22-(E5b!C22-P22))/(E5b!D22-E5b!C22)</f>
        <v>0.50999999999999979</v>
      </c>
      <c r="AD22" s="68">
        <f>(E5b!E22-R22-(E5b!D22-Q22))/(E5b!E22-E5b!D22)</f>
        <v>0.36999999999999905</v>
      </c>
      <c r="AE22" s="68">
        <f>(E5b!F22-S22-(E5b!E22-R22))/(E5b!F22-E5b!E22)</f>
        <v>0.34999999999999981</v>
      </c>
      <c r="AF22" s="3">
        <f>(E5b!G22-T22-(E5b!F22-S22))/(E5b!G22-E5b!F22)</f>
        <v>0.39705882352941202</v>
      </c>
      <c r="AG22" s="3">
        <f>(E5b!H22-U22-(E5b!G22-T22))/(E5b!H22-E5b!G22)</f>
        <v>0.46666666666666667</v>
      </c>
      <c r="AH22" s="3">
        <f>(E5b!I22-V22-(E5b!H22-U22))/(E5b!I22-E5b!H22)</f>
        <v>0.6</v>
      </c>
      <c r="AI22" s="3">
        <f>(E5b!J22-W22-(E5b!I22-V22))/(E5b!J22-E5b!I22)</f>
        <v>0.7</v>
      </c>
      <c r="AJ22" s="3">
        <f>(E5b!K22-X22-(E5b!J22-W22))/(E5b!K22-E5b!J22)</f>
        <v>0.76666666666666672</v>
      </c>
      <c r="AK22" s="3">
        <f>(E5b!L22-Y22-(E5b!K22-X22))/(E5b!L22-E5b!K22)</f>
        <v>0.9</v>
      </c>
      <c r="AL22" s="3">
        <f>(E5b!M22-Z22-(E5b!L22-Y22))/(E5b!M22-E5b!L22)</f>
        <v>0.92500000000000004</v>
      </c>
    </row>
    <row r="23" spans="1:38" ht="15.75" customHeight="1" x14ac:dyDescent="0.25">
      <c r="A23" s="21">
        <v>2045</v>
      </c>
      <c r="B23" s="22">
        <f t="shared" si="1"/>
        <v>0</v>
      </c>
      <c r="C23" s="22">
        <f t="shared" si="1"/>
        <v>0</v>
      </c>
      <c r="D23" s="22">
        <f t="shared" si="1"/>
        <v>0.15</v>
      </c>
      <c r="E23" s="22">
        <f t="shared" si="1"/>
        <v>0.2</v>
      </c>
      <c r="F23" s="22">
        <f t="shared" si="1"/>
        <v>0.25</v>
      </c>
      <c r="G23" s="22">
        <f t="shared" si="1"/>
        <v>0.3</v>
      </c>
      <c r="H23" s="22">
        <f t="shared" si="1"/>
        <v>0.4</v>
      </c>
      <c r="I23" s="22">
        <f t="shared" si="1"/>
        <v>0.5</v>
      </c>
      <c r="J23" s="22">
        <f t="shared" si="1"/>
        <v>0.6</v>
      </c>
      <c r="K23" s="22">
        <f t="shared" si="1"/>
        <v>0.7</v>
      </c>
      <c r="L23" s="22">
        <f t="shared" si="1"/>
        <v>0.8</v>
      </c>
      <c r="M23" s="22">
        <f t="shared" si="1"/>
        <v>0.9</v>
      </c>
      <c r="N23" s="22"/>
      <c r="O23" s="2">
        <f>(1-B23)*E5b!B23</f>
        <v>3.3333333333333313</v>
      </c>
      <c r="P23" s="2">
        <f>(1-C23)*E5b!C23</f>
        <v>4.6666666666666625</v>
      </c>
      <c r="Q23" s="2">
        <f>(1-D23)*E5b!D23</f>
        <v>5.6666666666666634</v>
      </c>
      <c r="R23" s="2">
        <f>(1-E23)*E5b!E23</f>
        <v>6.9333333333333371</v>
      </c>
      <c r="S23" s="2">
        <f>(1-F23)*E5b!F23</f>
        <v>9.7500000000000053</v>
      </c>
      <c r="T23">
        <f>(1-G23)*E5b!G23</f>
        <v>14</v>
      </c>
      <c r="U23">
        <f>(1-H23)*E5b!H23</f>
        <v>30</v>
      </c>
      <c r="V23">
        <f>(1-I23)*E5b!I23</f>
        <v>50</v>
      </c>
      <c r="W23">
        <f>(1-J23)*E5b!J23</f>
        <v>80</v>
      </c>
      <c r="X23">
        <f>(1-K23)*E5b!K23</f>
        <v>150.00000000000003</v>
      </c>
      <c r="Y23">
        <f>(1-L23)*E5b!L23</f>
        <v>199.99999999999994</v>
      </c>
      <c r="Z23">
        <f>(1-M23)*E5b!M23</f>
        <v>499.99999999999989</v>
      </c>
      <c r="AA23">
        <v>2</v>
      </c>
      <c r="AB23" s="3">
        <f>(E5b!C23-P23-(E5b!B23-O23))/(E5b!C23-E5b!B23)</f>
        <v>0</v>
      </c>
      <c r="AC23" s="68">
        <f>(E5b!D23-Q23-(E5b!C23-P23))/(E5b!D23-E5b!C23)</f>
        <v>0.49999999999999956</v>
      </c>
      <c r="AD23" s="68">
        <f>(E5b!E23-R23-(E5b!D23-Q23))/(E5b!E23-E5b!D23)</f>
        <v>0.36666666666666597</v>
      </c>
      <c r="AE23" s="68">
        <f>(E5b!F23-S23-(E5b!E23-R23))/(E5b!F23-E5b!E23)</f>
        <v>0.35</v>
      </c>
      <c r="AF23" s="3">
        <f>(E5b!G23-T23-(E5b!F23-S23))/(E5b!G23-E5b!F23)</f>
        <v>0.39285714285714302</v>
      </c>
      <c r="AG23" s="3">
        <f>(E5b!H23-U23-(E5b!G23-T23))/(E5b!H23-E5b!G23)</f>
        <v>0.46666666666666667</v>
      </c>
      <c r="AH23" s="3">
        <f>(E5b!I23-V23-(E5b!H23-U23))/(E5b!I23-E5b!H23)</f>
        <v>0.6</v>
      </c>
      <c r="AI23" s="3">
        <f>(E5b!J23-W23-(E5b!I23-V23))/(E5b!J23-E5b!I23)</f>
        <v>0.7</v>
      </c>
      <c r="AJ23" s="3">
        <f>(E5b!K23-X23-(E5b!J23-W23))/(E5b!K23-E5b!J23)</f>
        <v>0.76666666666666672</v>
      </c>
      <c r="AK23" s="3">
        <f>(E5b!L23-Y23-(E5b!K23-X23))/(E5b!L23-E5b!K23)</f>
        <v>0.9</v>
      </c>
      <c r="AL23" s="3">
        <f>(E5b!M23-Z23-(E5b!L23-Y23))/(E5b!M23-E5b!L23)</f>
        <v>0.92500000000000004</v>
      </c>
    </row>
    <row r="24" spans="1:38" ht="15.75" customHeight="1" x14ac:dyDescent="0.25">
      <c r="A24" s="21">
        <v>2046</v>
      </c>
      <c r="B24" s="22">
        <f t="shared" si="1"/>
        <v>0</v>
      </c>
      <c r="C24" s="22">
        <f t="shared" si="1"/>
        <v>0</v>
      </c>
      <c r="D24" s="22">
        <f t="shared" si="1"/>
        <v>0.15</v>
      </c>
      <c r="E24" s="22">
        <f t="shared" si="1"/>
        <v>0.2</v>
      </c>
      <c r="F24" s="22">
        <f t="shared" si="1"/>
        <v>0.25</v>
      </c>
      <c r="G24" s="22">
        <f t="shared" si="1"/>
        <v>0.3</v>
      </c>
      <c r="H24" s="22">
        <f t="shared" si="1"/>
        <v>0.4</v>
      </c>
      <c r="I24" s="22">
        <f t="shared" si="1"/>
        <v>0.5</v>
      </c>
      <c r="J24" s="22">
        <f t="shared" si="1"/>
        <v>0.6</v>
      </c>
      <c r="K24" s="22">
        <f t="shared" si="1"/>
        <v>0.7</v>
      </c>
      <c r="L24" s="22">
        <f t="shared" si="1"/>
        <v>0.8</v>
      </c>
      <c r="M24" s="22">
        <f t="shared" si="1"/>
        <v>0.9</v>
      </c>
      <c r="N24" s="22"/>
      <c r="O24" s="2">
        <f>(1-B24)*E5b!B24</f>
        <v>3.2666666666666644</v>
      </c>
      <c r="P24" s="2">
        <f>(1-C24)*E5b!C24</f>
        <v>4.5333333333333288</v>
      </c>
      <c r="Q24" s="2">
        <f>(1-D24)*E5b!D24</f>
        <v>5.5533333333333292</v>
      </c>
      <c r="R24" s="2">
        <f>(1-E24)*E5b!E24</f>
        <v>6.8266666666666715</v>
      </c>
      <c r="S24" s="2">
        <f>(1-F24)*E5b!F24</f>
        <v>9.600000000000005</v>
      </c>
      <c r="T24">
        <f>(1-G24)*E5b!G24</f>
        <v>14</v>
      </c>
      <c r="U24">
        <f>(1-H24)*E5b!H24</f>
        <v>30</v>
      </c>
      <c r="V24">
        <f>(1-I24)*E5b!I24</f>
        <v>50</v>
      </c>
      <c r="W24">
        <f>(1-J24)*E5b!J24</f>
        <v>80</v>
      </c>
      <c r="X24">
        <f>(1-K24)*E5b!K24</f>
        <v>150.00000000000003</v>
      </c>
      <c r="Y24">
        <f>(1-L24)*E5b!L24</f>
        <v>199.99999999999994</v>
      </c>
      <c r="Z24">
        <f>(1-M24)*E5b!M24</f>
        <v>499.99999999999989</v>
      </c>
      <c r="AA24">
        <v>2</v>
      </c>
      <c r="AB24" s="3">
        <f>(E5b!C24-P24-(E5b!B24-O24))/(E5b!C24-E5b!B24)</f>
        <v>0</v>
      </c>
      <c r="AC24" s="68">
        <f>(E5b!D24-Q24-(E5b!C24-P24))/(E5b!D24-E5b!C24)</f>
        <v>0.48999999999999977</v>
      </c>
      <c r="AD24" s="68">
        <f>(E5b!E24-R24-(E5b!D24-Q24))/(E5b!E24-E5b!D24)</f>
        <v>0.36333333333333195</v>
      </c>
      <c r="AE24" s="68">
        <f>(E5b!F24-S24-(E5b!E24-R24))/(E5b!F24-E5b!E24)</f>
        <v>0.35000000000000037</v>
      </c>
      <c r="AF24" s="3">
        <f>(E5b!G24-T24-(E5b!F24-S24))/(E5b!G24-E5b!F24)</f>
        <v>0.3888888888888889</v>
      </c>
      <c r="AG24" s="3">
        <f>(E5b!H24-U24-(E5b!G24-T24))/(E5b!H24-E5b!G24)</f>
        <v>0.46666666666666667</v>
      </c>
      <c r="AH24" s="3">
        <f>(E5b!I24-V24-(E5b!H24-U24))/(E5b!I24-E5b!H24)</f>
        <v>0.6</v>
      </c>
      <c r="AI24" s="3">
        <f>(E5b!J24-W24-(E5b!I24-V24))/(E5b!J24-E5b!I24)</f>
        <v>0.7</v>
      </c>
      <c r="AJ24" s="3">
        <f>(E5b!K24-X24-(E5b!J24-W24))/(E5b!K24-E5b!J24)</f>
        <v>0.76666666666666672</v>
      </c>
      <c r="AK24" s="3">
        <f>(E5b!L24-Y24-(E5b!K24-X24))/(E5b!L24-E5b!K24)</f>
        <v>0.9</v>
      </c>
      <c r="AL24" s="3">
        <f>(E5b!M24-Z24-(E5b!L24-Y24))/(E5b!M24-E5b!L24)</f>
        <v>0.92500000000000004</v>
      </c>
    </row>
    <row r="25" spans="1:38" ht="15.75" customHeight="1" x14ac:dyDescent="0.25">
      <c r="A25" s="21">
        <v>2047</v>
      </c>
      <c r="B25" s="22">
        <f t="shared" si="1"/>
        <v>0</v>
      </c>
      <c r="C25" s="22">
        <f t="shared" si="1"/>
        <v>0</v>
      </c>
      <c r="D25" s="22">
        <f t="shared" si="1"/>
        <v>0.15</v>
      </c>
      <c r="E25" s="22">
        <f t="shared" si="1"/>
        <v>0.2</v>
      </c>
      <c r="F25" s="22">
        <f t="shared" si="1"/>
        <v>0.25</v>
      </c>
      <c r="G25" s="22">
        <f t="shared" si="1"/>
        <v>0.3</v>
      </c>
      <c r="H25" s="22">
        <f t="shared" si="1"/>
        <v>0.4</v>
      </c>
      <c r="I25" s="22">
        <f t="shared" si="1"/>
        <v>0.5</v>
      </c>
      <c r="J25" s="22">
        <f t="shared" si="1"/>
        <v>0.6</v>
      </c>
      <c r="K25" s="22">
        <f t="shared" si="1"/>
        <v>0.7</v>
      </c>
      <c r="L25" s="22">
        <f t="shared" si="1"/>
        <v>0.8</v>
      </c>
      <c r="M25" s="22">
        <f t="shared" si="1"/>
        <v>0.9</v>
      </c>
      <c r="N25" s="22"/>
      <c r="O25" s="2">
        <f>(1-B25)*E5b!B25</f>
        <v>3.1999999999999975</v>
      </c>
      <c r="P25" s="2">
        <f>(1-C25)*E5b!C25</f>
        <v>4.399999999999995</v>
      </c>
      <c r="Q25" s="2">
        <f>(1-D25)*E5b!D25</f>
        <v>5.4399999999999959</v>
      </c>
      <c r="R25" s="2">
        <f>(1-E25)*E5b!E25</f>
        <v>6.7200000000000051</v>
      </c>
      <c r="S25" s="2">
        <f>(1-F25)*E5b!F25</f>
        <v>9.4500000000000064</v>
      </c>
      <c r="T25">
        <f>(1-G25)*E5b!G25</f>
        <v>14</v>
      </c>
      <c r="U25">
        <f>(1-H25)*E5b!H25</f>
        <v>30</v>
      </c>
      <c r="V25">
        <f>(1-I25)*E5b!I25</f>
        <v>50</v>
      </c>
      <c r="W25">
        <f>(1-J25)*E5b!J25</f>
        <v>80</v>
      </c>
      <c r="X25">
        <f>(1-K25)*E5b!K25</f>
        <v>150.00000000000003</v>
      </c>
      <c r="Y25">
        <f>(1-L25)*E5b!L25</f>
        <v>199.99999999999994</v>
      </c>
      <c r="Z25">
        <f>(1-M25)*E5b!M25</f>
        <v>499.99999999999989</v>
      </c>
      <c r="AA25">
        <v>2</v>
      </c>
      <c r="AB25" s="3">
        <f>(E5b!C25-P25-(E5b!B25-O25))/(E5b!C25-E5b!B25)</f>
        <v>0</v>
      </c>
      <c r="AC25" s="68">
        <f>(E5b!D25-Q25-(E5b!C25-P25))/(E5b!D25-E5b!C25)</f>
        <v>0.47999999999999954</v>
      </c>
      <c r="AD25" s="68">
        <f>(E5b!E25-R25-(E5b!D25-Q25))/(E5b!E25-E5b!D25)</f>
        <v>0.35999999999999882</v>
      </c>
      <c r="AE25" s="68">
        <f>(E5b!F25-S25-(E5b!E25-R25))/(E5b!F25-E5b!E25)</f>
        <v>0.35000000000000014</v>
      </c>
      <c r="AF25" s="3">
        <f>(E5b!G25-T25-(E5b!F25-S25))/(E5b!G25-E5b!F25)</f>
        <v>0.38513513513513531</v>
      </c>
      <c r="AG25" s="3">
        <f>(E5b!H25-U25-(E5b!G25-T25))/(E5b!H25-E5b!G25)</f>
        <v>0.46666666666666667</v>
      </c>
      <c r="AH25" s="3">
        <f>(E5b!I25-V25-(E5b!H25-U25))/(E5b!I25-E5b!H25)</f>
        <v>0.6</v>
      </c>
      <c r="AI25" s="3">
        <f>(E5b!J25-W25-(E5b!I25-V25))/(E5b!J25-E5b!I25)</f>
        <v>0.7</v>
      </c>
      <c r="AJ25" s="3">
        <f>(E5b!K25-X25-(E5b!J25-W25))/(E5b!K25-E5b!J25)</f>
        <v>0.76666666666666672</v>
      </c>
      <c r="AK25" s="3">
        <f>(E5b!L25-Y25-(E5b!K25-X25))/(E5b!L25-E5b!K25)</f>
        <v>0.9</v>
      </c>
      <c r="AL25" s="3">
        <f>(E5b!M25-Z25-(E5b!L25-Y25))/(E5b!M25-E5b!L25)</f>
        <v>0.92500000000000004</v>
      </c>
    </row>
    <row r="26" spans="1:38" ht="15.75" customHeight="1" x14ac:dyDescent="0.25">
      <c r="A26" s="21">
        <v>2048</v>
      </c>
      <c r="B26" s="22">
        <f t="shared" si="1"/>
        <v>0</v>
      </c>
      <c r="C26" s="22">
        <f t="shared" si="1"/>
        <v>0</v>
      </c>
      <c r="D26" s="22">
        <f t="shared" si="1"/>
        <v>0.15</v>
      </c>
      <c r="E26" s="22">
        <f t="shared" si="1"/>
        <v>0.2</v>
      </c>
      <c r="F26" s="22">
        <f t="shared" si="1"/>
        <v>0.25</v>
      </c>
      <c r="G26" s="22">
        <f t="shared" si="1"/>
        <v>0.3</v>
      </c>
      <c r="H26" s="22">
        <f t="shared" si="1"/>
        <v>0.4</v>
      </c>
      <c r="I26" s="22">
        <f t="shared" si="1"/>
        <v>0.5</v>
      </c>
      <c r="J26" s="22">
        <f t="shared" si="1"/>
        <v>0.6</v>
      </c>
      <c r="K26" s="22">
        <f t="shared" si="1"/>
        <v>0.7</v>
      </c>
      <c r="L26" s="22">
        <f t="shared" si="1"/>
        <v>0.8</v>
      </c>
      <c r="M26" s="22">
        <f t="shared" si="1"/>
        <v>0.9</v>
      </c>
      <c r="N26" s="22"/>
      <c r="O26" s="2">
        <f>(1-B26)*E5b!B26</f>
        <v>3.1333333333333306</v>
      </c>
      <c r="P26" s="2">
        <f>(1-C26)*E5b!C26</f>
        <v>4.2666666666666613</v>
      </c>
      <c r="Q26" s="2">
        <f>(1-D26)*E5b!D26</f>
        <v>5.3266666666666618</v>
      </c>
      <c r="R26" s="2">
        <f>(1-E26)*E5b!E26</f>
        <v>6.6133333333333386</v>
      </c>
      <c r="S26" s="2">
        <f>(1-F26)*E5b!F26</f>
        <v>9.3000000000000078</v>
      </c>
      <c r="T26">
        <f>(1-G26)*E5b!G26</f>
        <v>14</v>
      </c>
      <c r="U26">
        <f>(1-H26)*E5b!H26</f>
        <v>30</v>
      </c>
      <c r="V26">
        <f>(1-I26)*E5b!I26</f>
        <v>50</v>
      </c>
      <c r="W26">
        <f>(1-J26)*E5b!J26</f>
        <v>80</v>
      </c>
      <c r="X26">
        <f>(1-K26)*E5b!K26</f>
        <v>150.00000000000003</v>
      </c>
      <c r="Y26">
        <f>(1-L26)*E5b!L26</f>
        <v>199.99999999999994</v>
      </c>
      <c r="Z26">
        <f>(1-M26)*E5b!M26</f>
        <v>499.99999999999989</v>
      </c>
      <c r="AA26">
        <v>2</v>
      </c>
      <c r="AB26" s="3">
        <f>(E5b!C26-P26-(E5b!B26-O26))/(E5b!C26-E5b!B26)</f>
        <v>0</v>
      </c>
      <c r="AC26" s="68">
        <f>(E5b!D26-Q26-(E5b!C26-P26))/(E5b!D26-E5b!C26)</f>
        <v>0.46999999999999975</v>
      </c>
      <c r="AD26" s="68">
        <f>(E5b!E26-R26-(E5b!D26-Q26))/(E5b!E26-E5b!D26)</f>
        <v>0.3566666666666653</v>
      </c>
      <c r="AE26" s="68">
        <f>(E5b!F26-S26-(E5b!E26-R26))/(E5b!F26-E5b!E26)</f>
        <v>0.34999999999999987</v>
      </c>
      <c r="AF26" s="3">
        <f>(E5b!G26-T26-(E5b!F26-S26))/(E5b!G26-E5b!F26)</f>
        <v>0.38157894736842135</v>
      </c>
      <c r="AG26" s="3">
        <f>(E5b!H26-U26-(E5b!G26-T26))/(E5b!H26-E5b!G26)</f>
        <v>0.46666666666666667</v>
      </c>
      <c r="AH26" s="3">
        <f>(E5b!I26-V26-(E5b!H26-U26))/(E5b!I26-E5b!H26)</f>
        <v>0.6</v>
      </c>
      <c r="AI26" s="3">
        <f>(E5b!J26-W26-(E5b!I26-V26))/(E5b!J26-E5b!I26)</f>
        <v>0.7</v>
      </c>
      <c r="AJ26" s="3">
        <f>(E5b!K26-X26-(E5b!J26-W26))/(E5b!K26-E5b!J26)</f>
        <v>0.76666666666666672</v>
      </c>
      <c r="AK26" s="3">
        <f>(E5b!L26-Y26-(E5b!K26-X26))/(E5b!L26-E5b!K26)</f>
        <v>0.9</v>
      </c>
      <c r="AL26" s="3">
        <f>(E5b!M26-Z26-(E5b!L26-Y26))/(E5b!M26-E5b!L26)</f>
        <v>0.92500000000000004</v>
      </c>
    </row>
    <row r="27" spans="1:38" ht="15.75" customHeight="1" x14ac:dyDescent="0.25">
      <c r="A27" s="21">
        <v>2049</v>
      </c>
      <c r="B27" s="22">
        <f t="shared" si="1"/>
        <v>0</v>
      </c>
      <c r="C27" s="22">
        <f t="shared" si="1"/>
        <v>0</v>
      </c>
      <c r="D27" s="22">
        <f t="shared" si="1"/>
        <v>0.15</v>
      </c>
      <c r="E27" s="22">
        <f t="shared" si="1"/>
        <v>0.2</v>
      </c>
      <c r="F27" s="22">
        <f t="shared" si="1"/>
        <v>0.25</v>
      </c>
      <c r="G27" s="22">
        <f t="shared" si="1"/>
        <v>0.3</v>
      </c>
      <c r="H27" s="22">
        <f t="shared" si="1"/>
        <v>0.4</v>
      </c>
      <c r="I27" s="22">
        <f t="shared" si="1"/>
        <v>0.5</v>
      </c>
      <c r="J27" s="22">
        <f t="shared" si="1"/>
        <v>0.6</v>
      </c>
      <c r="K27" s="22">
        <f t="shared" si="1"/>
        <v>0.7</v>
      </c>
      <c r="L27" s="22">
        <f t="shared" si="1"/>
        <v>0.8</v>
      </c>
      <c r="M27" s="22">
        <f t="shared" si="1"/>
        <v>0.9</v>
      </c>
      <c r="N27" s="22"/>
      <c r="O27" s="2">
        <f>(1-B27)*E5b!B27</f>
        <v>3.0666666666666638</v>
      </c>
      <c r="P27" s="2">
        <f>(1-C27)*E5b!C27</f>
        <v>4.1333333333333275</v>
      </c>
      <c r="Q27" s="2">
        <f>(1-D27)*E5b!D27</f>
        <v>5.2133333333333285</v>
      </c>
      <c r="R27" s="2">
        <f>(1-E27)*E5b!E27</f>
        <v>6.5066666666666721</v>
      </c>
      <c r="S27" s="2">
        <f>(1-F27)*E5b!F27</f>
        <v>9.1500000000000075</v>
      </c>
      <c r="T27">
        <f>(1-G27)*E5b!G27</f>
        <v>14</v>
      </c>
      <c r="U27">
        <f>(1-H27)*E5b!H27</f>
        <v>30</v>
      </c>
      <c r="V27">
        <f>(1-I27)*E5b!I27</f>
        <v>50</v>
      </c>
      <c r="W27">
        <f>(1-J27)*E5b!J27</f>
        <v>80</v>
      </c>
      <c r="X27">
        <f>(1-K27)*E5b!K27</f>
        <v>150.00000000000003</v>
      </c>
      <c r="Y27">
        <f>(1-L27)*E5b!L27</f>
        <v>199.99999999999994</v>
      </c>
      <c r="Z27">
        <f>(1-M27)*E5b!M27</f>
        <v>499.99999999999989</v>
      </c>
      <c r="AA27">
        <v>2</v>
      </c>
      <c r="AB27" s="3">
        <f>(E5b!C27-P27-(E5b!B27-O27))/(E5b!C27-E5b!B27)</f>
        <v>0</v>
      </c>
      <c r="AC27" s="68">
        <f>(E5b!D27-Q27-(E5b!C27-P27))/(E5b!D27-E5b!C27)</f>
        <v>0.45999999999999952</v>
      </c>
      <c r="AD27" s="68">
        <f>(E5b!E27-R27-(E5b!D27-Q27))/(E5b!E27-E5b!D27)</f>
        <v>0.35333333333333217</v>
      </c>
      <c r="AE27" s="68">
        <f>(E5b!F27-S27-(E5b!E27-R27))/(E5b!F27-E5b!E27)</f>
        <v>0.35000000000000003</v>
      </c>
      <c r="AF27" s="3">
        <f>(E5b!G27-T27-(E5b!F27-S27))/(E5b!G27-E5b!F27)</f>
        <v>0.37820512820512836</v>
      </c>
      <c r="AG27" s="3">
        <f>(E5b!H27-U27-(E5b!G27-T27))/(E5b!H27-E5b!G27)</f>
        <v>0.46666666666666667</v>
      </c>
      <c r="AH27" s="3">
        <f>(E5b!I27-V27-(E5b!H27-U27))/(E5b!I27-E5b!H27)</f>
        <v>0.6</v>
      </c>
      <c r="AI27" s="3">
        <f>(E5b!J27-W27-(E5b!I27-V27))/(E5b!J27-E5b!I27)</f>
        <v>0.7</v>
      </c>
      <c r="AJ27" s="3">
        <f>(E5b!K27-X27-(E5b!J27-W27))/(E5b!K27-E5b!J27)</f>
        <v>0.76666666666666672</v>
      </c>
      <c r="AK27" s="3">
        <f>(E5b!L27-Y27-(E5b!K27-X27))/(E5b!L27-E5b!K27)</f>
        <v>0.9</v>
      </c>
      <c r="AL27" s="3">
        <f>(E5b!M27-Z27-(E5b!L27-Y27))/(E5b!M27-E5b!L27)</f>
        <v>0.92500000000000004</v>
      </c>
    </row>
    <row r="28" spans="1:38" ht="15.75" customHeight="1" x14ac:dyDescent="0.25">
      <c r="A28" s="21">
        <v>2050</v>
      </c>
      <c r="B28" s="30">
        <v>0</v>
      </c>
      <c r="C28" s="30">
        <v>0</v>
      </c>
      <c r="D28" s="30">
        <v>0.15</v>
      </c>
      <c r="E28" s="30">
        <v>0.2</v>
      </c>
      <c r="F28" s="30">
        <v>0.25</v>
      </c>
      <c r="G28" s="30">
        <v>0.3</v>
      </c>
      <c r="H28" s="30">
        <v>0.4</v>
      </c>
      <c r="I28" s="30">
        <v>0.5</v>
      </c>
      <c r="J28" s="30">
        <v>0.6</v>
      </c>
      <c r="K28" s="30">
        <v>0.7</v>
      </c>
      <c r="L28" s="30">
        <v>0.8</v>
      </c>
      <c r="M28" s="30">
        <v>0.9</v>
      </c>
      <c r="N28" s="30"/>
      <c r="O28" s="71">
        <f>(1-B28)*E5b!B28</f>
        <v>3</v>
      </c>
      <c r="P28" s="71">
        <f>(1-C28)*E5b!C28</f>
        <v>4</v>
      </c>
      <c r="Q28" s="2">
        <f>(1-D28)*E5b!D28</f>
        <v>5.0999999999999996</v>
      </c>
      <c r="R28" s="2">
        <f>(1-E28)*E5b!E28</f>
        <v>6.4</v>
      </c>
      <c r="S28" s="2">
        <f>(1-F28)*E5b!F28</f>
        <v>9</v>
      </c>
      <c r="T28">
        <f>(1-G28)*E5b!G28</f>
        <v>14</v>
      </c>
      <c r="U28">
        <f>(1-H28)*E5b!H28</f>
        <v>30</v>
      </c>
      <c r="V28">
        <f>(1-I28)*E5b!I28</f>
        <v>50</v>
      </c>
      <c r="W28">
        <f>(1-J28)*E5b!J28</f>
        <v>80</v>
      </c>
      <c r="X28">
        <f>(1-K28)*E5b!K28</f>
        <v>150.00000000000003</v>
      </c>
      <c r="Y28">
        <f>(1-L28)*E5b!L28</f>
        <v>199.99999999999994</v>
      </c>
      <c r="Z28">
        <f>(1-M28)*E5b!M28</f>
        <v>499.99999999999989</v>
      </c>
      <c r="AA28">
        <v>1</v>
      </c>
      <c r="AB28" s="3">
        <f>(E5b!C28-P28-(E5b!B28-O28))/(E5b!C28-E5b!B28)</f>
        <v>0</v>
      </c>
      <c r="AC28" s="68">
        <f>(E5b!D28-Q28-(E5b!C28-P28))/(E5b!D28-E5b!C28)</f>
        <v>0.45000000000000018</v>
      </c>
      <c r="AD28" s="68">
        <f>(E5b!E28-R28-(E5b!D28-Q28))/(E5b!E28-E5b!D28)</f>
        <v>0.34999999999999964</v>
      </c>
      <c r="AE28" s="3">
        <f>(E5b!F28-S28-(E5b!E28-R28))/(E5b!F28-E5b!E28)</f>
        <v>0.35000000000000009</v>
      </c>
      <c r="AF28" s="3">
        <f>(E5b!G28-T28-(E5b!F28-S28))/(E5b!G28-E5b!F28)</f>
        <v>0.375</v>
      </c>
      <c r="AG28" s="3">
        <f>(E5b!H28-U28-(E5b!G28-T28))/(E5b!H28-E5b!G28)</f>
        <v>0.46666666666666667</v>
      </c>
      <c r="AH28" s="3">
        <f>(E5b!I28-V28-(E5b!H28-U28))/(E5b!I28-E5b!H28)</f>
        <v>0.6</v>
      </c>
      <c r="AI28" s="3">
        <f>(E5b!J28-W28-(E5b!I28-V28))/(E5b!J28-E5b!I28)</f>
        <v>0.7</v>
      </c>
      <c r="AJ28" s="3">
        <f>(E5b!K28-X28-(E5b!J28-W28))/(E5b!K28-E5b!J28)</f>
        <v>0.76666666666666672</v>
      </c>
      <c r="AK28" s="3">
        <f>(E5b!L28-Y28-(E5b!K28-X28))/(E5b!L28-E5b!K28)</f>
        <v>0.9</v>
      </c>
      <c r="AL28" s="3">
        <f>(E5b!M28-Z28-(E5b!L28-Y28))/(E5b!M28-E5b!L28)</f>
        <v>0.92500000000000004</v>
      </c>
    </row>
    <row r="29" spans="1:38" ht="15.75" customHeight="1" x14ac:dyDescent="0.25">
      <c r="A29" s="21">
        <v>2051</v>
      </c>
      <c r="B29" s="22">
        <f t="shared" ref="B29:M44" si="2">B28+(B$48-B$28)/20</f>
        <v>0</v>
      </c>
      <c r="C29" s="22">
        <f t="shared" si="2"/>
        <v>0</v>
      </c>
      <c r="D29" s="76">
        <f t="shared" si="2"/>
        <v>0.15</v>
      </c>
      <c r="E29" s="22">
        <f t="shared" si="2"/>
        <v>0.20250000000000001</v>
      </c>
      <c r="F29" s="22">
        <f t="shared" si="2"/>
        <v>0.2525</v>
      </c>
      <c r="G29" s="22">
        <f t="shared" si="2"/>
        <v>0.30499999999999999</v>
      </c>
      <c r="H29" s="22">
        <f t="shared" si="2"/>
        <v>0.40500000000000003</v>
      </c>
      <c r="I29" s="22">
        <f t="shared" si="2"/>
        <v>0.505</v>
      </c>
      <c r="J29" s="22">
        <f t="shared" si="2"/>
        <v>0.60499999999999998</v>
      </c>
      <c r="K29" s="22">
        <f t="shared" si="2"/>
        <v>0.7024999999999999</v>
      </c>
      <c r="L29" s="22">
        <f t="shared" si="2"/>
        <v>0.8</v>
      </c>
      <c r="M29" s="22">
        <f t="shared" si="2"/>
        <v>0.9</v>
      </c>
      <c r="N29" s="22"/>
      <c r="O29" s="71">
        <f>(1-B29)*E5b!B29</f>
        <v>3</v>
      </c>
      <c r="P29" s="71">
        <f>(1-C29)*E5b!C29</f>
        <v>4</v>
      </c>
      <c r="Q29" s="2">
        <f>(1-D29)*E5b!D29</f>
        <v>5.0575000000000001</v>
      </c>
      <c r="R29" s="2">
        <f>(1-E29)*E5b!E29</f>
        <v>6.3401250000000005</v>
      </c>
      <c r="S29" s="2">
        <f>(1-F29)*E5b!F29</f>
        <v>8.8952500000000008</v>
      </c>
      <c r="T29">
        <f>(1-G29)*E5b!G29</f>
        <v>13.900000000000002</v>
      </c>
      <c r="U29">
        <f>(1-H29)*E5b!H29</f>
        <v>29.75</v>
      </c>
      <c r="V29">
        <f>(1-I29)*E5b!I29</f>
        <v>49.5</v>
      </c>
      <c r="W29">
        <f>(1-J29)*E5b!J29</f>
        <v>79</v>
      </c>
      <c r="X29">
        <f>(1-K29)*E5b!K29</f>
        <v>148.75000000000006</v>
      </c>
      <c r="Y29">
        <f>(1-L29)*E5b!L29</f>
        <v>199.99999999999994</v>
      </c>
      <c r="Z29">
        <f>(1-M29)*E5b!M29</f>
        <v>499.99999999999989</v>
      </c>
      <c r="AA29">
        <v>1</v>
      </c>
      <c r="AB29" s="3">
        <f>(E5b!C29-P29-(E5b!B29-O29))/(E5b!C29-E5b!B29)</f>
        <v>0</v>
      </c>
      <c r="AC29" s="68">
        <f>(E5b!D29-Q29-(E5b!C29-P29))/(E5b!D29-E5b!C29)</f>
        <v>0.45769230769230768</v>
      </c>
      <c r="AD29" s="68">
        <f>(E5b!E29-R29-(E5b!D29-Q29))/(E5b!E29-E5b!D29)</f>
        <v>0.35868749999999983</v>
      </c>
      <c r="AE29" s="3">
        <f>(E5b!F29-S29-(E5b!E29-R29))/(E5b!F29-E5b!E29)</f>
        <v>0.35313291139240499</v>
      </c>
      <c r="AF29" s="3">
        <f>(E5b!G29-T29-(E5b!F29-S29))/(E5b!G29-E5b!F29)</f>
        <v>0.38212962962962943</v>
      </c>
      <c r="AG29" s="3">
        <f>(E5b!H29-U29-(E5b!G29-T29))/(E5b!H29-E5b!G29)</f>
        <v>0.47166666666666673</v>
      </c>
      <c r="AH29" s="3">
        <f>(E5b!I29-V29-(E5b!H29-U29))/(E5b!I29-E5b!H29)</f>
        <v>0.60499999999999998</v>
      </c>
      <c r="AI29" s="3">
        <f>(E5b!J29-W29-(E5b!I29-V29))/(E5b!J29-E5b!I29)</f>
        <v>0.70499999999999996</v>
      </c>
      <c r="AJ29" s="3">
        <f>(E5b!K29-X29-(E5b!J29-W29))/(E5b!K29-E5b!J29)</f>
        <v>0.76749999999999985</v>
      </c>
      <c r="AK29" s="3">
        <f>(E5b!L29-Y29-(E5b!K29-X29))/(E5b!L29-E5b!K29)</f>
        <v>0.89750000000000008</v>
      </c>
      <c r="AL29" s="3">
        <f>(E5b!M29-Z29-(E5b!L29-Y29))/(E5b!M29-E5b!L29)</f>
        <v>0.92500000000000004</v>
      </c>
    </row>
    <row r="30" spans="1:38" ht="15.75" customHeight="1" x14ac:dyDescent="0.25">
      <c r="A30" s="21">
        <v>2052</v>
      </c>
      <c r="B30" s="22">
        <f t="shared" si="2"/>
        <v>0</v>
      </c>
      <c r="C30" s="22">
        <f t="shared" si="2"/>
        <v>0</v>
      </c>
      <c r="D30" s="76">
        <f t="shared" si="2"/>
        <v>0.15</v>
      </c>
      <c r="E30" s="22">
        <f t="shared" si="2"/>
        <v>0.20500000000000002</v>
      </c>
      <c r="F30" s="22">
        <f t="shared" si="2"/>
        <v>0.255</v>
      </c>
      <c r="G30" s="22">
        <f t="shared" si="2"/>
        <v>0.31</v>
      </c>
      <c r="H30" s="22">
        <f t="shared" si="2"/>
        <v>0.41000000000000003</v>
      </c>
      <c r="I30" s="22">
        <f t="shared" si="2"/>
        <v>0.51</v>
      </c>
      <c r="J30" s="22">
        <f t="shared" si="2"/>
        <v>0.61</v>
      </c>
      <c r="K30" s="22">
        <f t="shared" si="2"/>
        <v>0.70499999999999985</v>
      </c>
      <c r="L30" s="22">
        <f t="shared" si="2"/>
        <v>0.8</v>
      </c>
      <c r="M30" s="22">
        <f t="shared" si="2"/>
        <v>0.9</v>
      </c>
      <c r="N30" s="22"/>
      <c r="O30" s="71">
        <f>(1-B30)*E5b!B30</f>
        <v>3</v>
      </c>
      <c r="P30" s="71">
        <f>(1-C30)*E5b!C30</f>
        <v>4</v>
      </c>
      <c r="Q30" s="2">
        <f>(1-D30)*E5b!D30</f>
        <v>5.0150000000000006</v>
      </c>
      <c r="R30" s="2">
        <f>(1-E30)*E5b!E30</f>
        <v>6.2805</v>
      </c>
      <c r="S30" s="2">
        <f>(1-F30)*E5b!F30</f>
        <v>8.7910000000000004</v>
      </c>
      <c r="T30">
        <f>(1-G30)*E5b!G30</f>
        <v>13.799999999999999</v>
      </c>
      <c r="U30">
        <f>(1-H30)*E5b!H30</f>
        <v>29.5</v>
      </c>
      <c r="V30">
        <f>(1-I30)*E5b!I30</f>
        <v>49</v>
      </c>
      <c r="W30">
        <f>(1-J30)*E5b!J30</f>
        <v>78</v>
      </c>
      <c r="X30">
        <f>(1-K30)*E5b!K30</f>
        <v>147.50000000000009</v>
      </c>
      <c r="Y30">
        <f>(1-L30)*E5b!L30</f>
        <v>199.99999999999994</v>
      </c>
      <c r="Z30">
        <f>(1-M30)*E5b!M30</f>
        <v>499.99999999999989</v>
      </c>
      <c r="AA30">
        <v>1</v>
      </c>
      <c r="AB30" s="3">
        <f>(E5b!C30-P30-(E5b!B30-O30))/(E5b!C30-E5b!B30)</f>
        <v>0</v>
      </c>
      <c r="AC30" s="68">
        <f>(E5b!D30-Q30-(E5b!C30-P30))/(E5b!D30-E5b!C30)</f>
        <v>0.46578947368421031</v>
      </c>
      <c r="AD30" s="68">
        <f>(E5b!E30-R30-(E5b!D30-Q30))/(E5b!E30-E5b!D30)</f>
        <v>0.3672500000000003</v>
      </c>
      <c r="AE30" s="3">
        <f>(E5b!F30-S30-(E5b!E30-R30))/(E5b!F30-E5b!E30)</f>
        <v>0.35628205128205126</v>
      </c>
      <c r="AF30" s="3">
        <f>(E5b!G30-T30-(E5b!F30-S30))/(E5b!G30-E5b!F30)</f>
        <v>0.38914634146341476</v>
      </c>
      <c r="AG30" s="3">
        <f>(E5b!H30-U30-(E5b!G30-T30))/(E5b!H30-E5b!G30)</f>
        <v>0.47666666666666663</v>
      </c>
      <c r="AH30" s="3">
        <f>(E5b!I30-V30-(E5b!H30-U30))/(E5b!I30-E5b!H30)</f>
        <v>0.61</v>
      </c>
      <c r="AI30" s="3">
        <f>(E5b!J30-W30-(E5b!I30-V30))/(E5b!J30-E5b!I30)</f>
        <v>0.71</v>
      </c>
      <c r="AJ30" s="3">
        <f>(E5b!K30-X30-(E5b!J30-W30))/(E5b!K30-E5b!J30)</f>
        <v>0.76833333333333298</v>
      </c>
      <c r="AK30" s="3">
        <f>(E5b!L30-Y30-(E5b!K30-X30))/(E5b!L30-E5b!K30)</f>
        <v>0.89500000000000024</v>
      </c>
      <c r="AL30" s="3">
        <f>(E5b!M30-Z30-(E5b!L30-Y30))/(E5b!M30-E5b!L30)</f>
        <v>0.92500000000000004</v>
      </c>
    </row>
    <row r="31" spans="1:38" ht="15.75" customHeight="1" x14ac:dyDescent="0.25">
      <c r="A31" s="21">
        <v>2053</v>
      </c>
      <c r="B31" s="22">
        <f t="shared" si="2"/>
        <v>0</v>
      </c>
      <c r="C31" s="22">
        <f t="shared" si="2"/>
        <v>0</v>
      </c>
      <c r="D31" s="76">
        <f t="shared" si="2"/>
        <v>0.15</v>
      </c>
      <c r="E31" s="22">
        <f t="shared" si="2"/>
        <v>0.20750000000000002</v>
      </c>
      <c r="F31" s="22">
        <f t="shared" si="2"/>
        <v>0.25750000000000001</v>
      </c>
      <c r="G31" s="22">
        <f t="shared" si="2"/>
        <v>0.315</v>
      </c>
      <c r="H31" s="22">
        <f t="shared" si="2"/>
        <v>0.41500000000000004</v>
      </c>
      <c r="I31" s="22">
        <f t="shared" si="2"/>
        <v>0.51500000000000001</v>
      </c>
      <c r="J31" s="22">
        <f t="shared" si="2"/>
        <v>0.61499999999999999</v>
      </c>
      <c r="K31" s="22">
        <f t="shared" si="2"/>
        <v>0.7074999999999998</v>
      </c>
      <c r="L31" s="22">
        <f t="shared" si="2"/>
        <v>0.8</v>
      </c>
      <c r="M31" s="22">
        <f t="shared" si="2"/>
        <v>0.9</v>
      </c>
      <c r="N31" s="22"/>
      <c r="O31" s="71">
        <f>(1-B31)*E5b!B31</f>
        <v>3</v>
      </c>
      <c r="P31" s="71">
        <f>(1-C31)*E5b!C31</f>
        <v>4</v>
      </c>
      <c r="Q31" s="2">
        <f>(1-D31)*E5b!D31</f>
        <v>4.9725000000000001</v>
      </c>
      <c r="R31" s="2">
        <f>(1-E31)*E5b!E31</f>
        <v>6.2211250000000007</v>
      </c>
      <c r="S31" s="2">
        <f>(1-F31)*E5b!F31</f>
        <v>8.6872500000000006</v>
      </c>
      <c r="T31">
        <f>(1-G31)*E5b!G31</f>
        <v>13.700000000000001</v>
      </c>
      <c r="U31">
        <f>(1-H31)*E5b!H31</f>
        <v>29.25</v>
      </c>
      <c r="V31">
        <f>(1-I31)*E5b!I31</f>
        <v>48.5</v>
      </c>
      <c r="W31">
        <f>(1-J31)*E5b!J31</f>
        <v>77</v>
      </c>
      <c r="X31">
        <f>(1-K31)*E5b!K31</f>
        <v>146.25000000000011</v>
      </c>
      <c r="Y31">
        <f>(1-L31)*E5b!L31</f>
        <v>199.99999999999994</v>
      </c>
      <c r="Z31">
        <f>(1-M31)*E5b!M31</f>
        <v>499.99999999999989</v>
      </c>
      <c r="AA31">
        <v>1</v>
      </c>
      <c r="AB31" s="3">
        <f>(E5b!C31-P31-(E5b!B31-O31))/(E5b!C31-E5b!B31)</f>
        <v>0</v>
      </c>
      <c r="AC31" s="68">
        <f>(E5b!D31-Q31-(E5b!C31-P31))/(E5b!D31-E5b!C31)</f>
        <v>0.47432432432432442</v>
      </c>
      <c r="AD31" s="68">
        <f>(E5b!E31-R31-(E5b!D31-Q31))/(E5b!E31-E5b!D31)</f>
        <v>0.37568749999999973</v>
      </c>
      <c r="AE31" s="3">
        <f>(E5b!F31-S31-(E5b!E31-R31))/(E5b!F31-E5b!E31)</f>
        <v>0.35944805194805207</v>
      </c>
      <c r="AF31" s="3">
        <f>(E5b!G31-T31-(E5b!F31-S31))/(E5b!G31-E5b!F31)</f>
        <v>0.39605421686746972</v>
      </c>
      <c r="AG31" s="3">
        <f>(E5b!H31-U31-(E5b!G31-T31))/(E5b!H31-E5b!G31)</f>
        <v>0.48166666666666669</v>
      </c>
      <c r="AH31" s="3">
        <f>(E5b!I31-V31-(E5b!H31-U31))/(E5b!I31-E5b!H31)</f>
        <v>0.61499999999999999</v>
      </c>
      <c r="AI31" s="3">
        <f>(E5b!J31-W31-(E5b!I31-V31))/(E5b!J31-E5b!I31)</f>
        <v>0.71499999999999997</v>
      </c>
      <c r="AJ31" s="3">
        <f>(E5b!K31-X31-(E5b!J31-W31))/(E5b!K31-E5b!J31)</f>
        <v>0.76916666666666633</v>
      </c>
      <c r="AK31" s="3">
        <f>(E5b!L31-Y31-(E5b!K31-X31))/(E5b!L31-E5b!K31)</f>
        <v>0.89250000000000018</v>
      </c>
      <c r="AL31" s="3">
        <f>(E5b!M31-Z31-(E5b!L31-Y31))/(E5b!M31-E5b!L31)</f>
        <v>0.92500000000000004</v>
      </c>
    </row>
    <row r="32" spans="1:38" ht="15.75" customHeight="1" x14ac:dyDescent="0.25">
      <c r="A32" s="21">
        <v>2054</v>
      </c>
      <c r="B32" s="22">
        <f t="shared" si="2"/>
        <v>0</v>
      </c>
      <c r="C32" s="22">
        <f t="shared" si="2"/>
        <v>0</v>
      </c>
      <c r="D32" s="76">
        <f t="shared" si="2"/>
        <v>0.15</v>
      </c>
      <c r="E32" s="22">
        <f t="shared" si="2"/>
        <v>0.21000000000000002</v>
      </c>
      <c r="F32" s="22">
        <f t="shared" si="2"/>
        <v>0.26</v>
      </c>
      <c r="G32" s="22">
        <f t="shared" si="2"/>
        <v>0.32</v>
      </c>
      <c r="H32" s="22">
        <f t="shared" si="2"/>
        <v>0.42000000000000004</v>
      </c>
      <c r="I32" s="22">
        <f t="shared" si="2"/>
        <v>0.52</v>
      </c>
      <c r="J32" s="22">
        <f t="shared" si="2"/>
        <v>0.62</v>
      </c>
      <c r="K32" s="22">
        <f t="shared" si="2"/>
        <v>0.70999999999999974</v>
      </c>
      <c r="L32" s="22">
        <f t="shared" si="2"/>
        <v>0.8</v>
      </c>
      <c r="M32" s="22">
        <f t="shared" si="2"/>
        <v>0.9</v>
      </c>
      <c r="N32" s="22"/>
      <c r="O32" s="71">
        <f>(1-B32)*E5b!B32</f>
        <v>3</v>
      </c>
      <c r="P32" s="71">
        <f>(1-C32)*E5b!C32</f>
        <v>4</v>
      </c>
      <c r="Q32" s="2">
        <f>(1-D32)*E5b!D32</f>
        <v>4.9300000000000006</v>
      </c>
      <c r="R32" s="2">
        <f>(1-E32)*E5b!E32</f>
        <v>6.1620000000000008</v>
      </c>
      <c r="S32" s="2">
        <f>(1-F32)*E5b!F32</f>
        <v>8.5840000000000014</v>
      </c>
      <c r="T32">
        <f>(1-G32)*E5b!G32</f>
        <v>13.599999999999998</v>
      </c>
      <c r="U32">
        <f>(1-H32)*E5b!H32</f>
        <v>28.999999999999996</v>
      </c>
      <c r="V32">
        <f>(1-I32)*E5b!I32</f>
        <v>48</v>
      </c>
      <c r="W32">
        <f>(1-J32)*E5b!J32</f>
        <v>76</v>
      </c>
      <c r="X32">
        <f>(1-K32)*E5b!K32</f>
        <v>145.00000000000014</v>
      </c>
      <c r="Y32">
        <f>(1-L32)*E5b!L32</f>
        <v>199.99999999999994</v>
      </c>
      <c r="Z32">
        <f>(1-M32)*E5b!M32</f>
        <v>499.99999999999989</v>
      </c>
      <c r="AA32">
        <v>1</v>
      </c>
      <c r="AB32" s="3">
        <f>(E5b!C32-P32-(E5b!B32-O32))/(E5b!C32-E5b!B32)</f>
        <v>0</v>
      </c>
      <c r="AC32" s="68">
        <f>(E5b!D32-Q32-(E5b!C32-P32))/(E5b!D32-E5b!C32)</f>
        <v>0.48333333333333323</v>
      </c>
      <c r="AD32" s="68">
        <f>(E5b!E32-R32-(E5b!D32-Q32))/(E5b!E32-E5b!D32)</f>
        <v>0.3839999999999999</v>
      </c>
      <c r="AE32" s="3">
        <f>(E5b!F32-S32-(E5b!E32-R32))/(E5b!F32-E5b!E32)</f>
        <v>0.36263157894736836</v>
      </c>
      <c r="AF32" s="3">
        <f>(E5b!G32-T32-(E5b!F32-S32))/(E5b!G32-E5b!F32)</f>
        <v>0.40285714285714319</v>
      </c>
      <c r="AG32" s="3">
        <f>(E5b!H32-U32-(E5b!G32-T32))/(E5b!H32-E5b!G32)</f>
        <v>0.48666666666666669</v>
      </c>
      <c r="AH32" s="3">
        <f>(E5b!I32-V32-(E5b!H32-U32))/(E5b!I32-E5b!H32)</f>
        <v>0.61999999999999988</v>
      </c>
      <c r="AI32" s="3">
        <f>(E5b!J32-W32-(E5b!I32-V32))/(E5b!J32-E5b!I32)</f>
        <v>0.72</v>
      </c>
      <c r="AJ32" s="3">
        <f>(E5b!K32-X32-(E5b!J32-W32))/(E5b!K32-E5b!J32)</f>
        <v>0.76999999999999957</v>
      </c>
      <c r="AK32" s="3">
        <f>(E5b!L32-Y32-(E5b!K32-X32))/(E5b!L32-E5b!K32)</f>
        <v>0.89000000000000024</v>
      </c>
      <c r="AL32" s="3">
        <f>(E5b!M32-Z32-(E5b!L32-Y32))/(E5b!M32-E5b!L32)</f>
        <v>0.92500000000000004</v>
      </c>
    </row>
    <row r="33" spans="1:38" ht="15.75" customHeight="1" x14ac:dyDescent="0.25">
      <c r="A33" s="21">
        <v>2055</v>
      </c>
      <c r="B33" s="22">
        <f t="shared" si="2"/>
        <v>0</v>
      </c>
      <c r="C33" s="22">
        <f t="shared" si="2"/>
        <v>0</v>
      </c>
      <c r="D33" s="76">
        <f t="shared" si="2"/>
        <v>0.15</v>
      </c>
      <c r="E33" s="22">
        <f t="shared" si="2"/>
        <v>0.21250000000000002</v>
      </c>
      <c r="F33" s="22">
        <f t="shared" si="2"/>
        <v>0.26250000000000001</v>
      </c>
      <c r="G33" s="22">
        <f t="shared" si="2"/>
        <v>0.32500000000000001</v>
      </c>
      <c r="H33" s="22">
        <f t="shared" si="2"/>
        <v>0.42500000000000004</v>
      </c>
      <c r="I33" s="22">
        <f t="shared" si="2"/>
        <v>0.52500000000000002</v>
      </c>
      <c r="J33" s="22">
        <f t="shared" si="2"/>
        <v>0.625</v>
      </c>
      <c r="K33" s="22">
        <f t="shared" si="2"/>
        <v>0.71249999999999969</v>
      </c>
      <c r="L33" s="22">
        <f t="shared" si="2"/>
        <v>0.8</v>
      </c>
      <c r="M33" s="22">
        <f t="shared" si="2"/>
        <v>0.9</v>
      </c>
      <c r="N33" s="22"/>
      <c r="O33" s="71">
        <f>(1-B33)*E5b!B33</f>
        <v>3</v>
      </c>
      <c r="P33" s="71">
        <f>(1-C33)*E5b!C33</f>
        <v>4</v>
      </c>
      <c r="Q33" s="2">
        <f>(1-D33)*E5b!D33</f>
        <v>4.8875000000000011</v>
      </c>
      <c r="R33" s="2">
        <f>(1-E33)*E5b!E33</f>
        <v>6.1031250000000004</v>
      </c>
      <c r="S33" s="2">
        <f>(1-F33)*E5b!F33</f>
        <v>8.4812500000000011</v>
      </c>
      <c r="T33">
        <f>(1-G33)*E5b!G33</f>
        <v>13.5</v>
      </c>
      <c r="U33">
        <f>(1-H33)*E5b!H33</f>
        <v>28.749999999999996</v>
      </c>
      <c r="V33">
        <f>(1-I33)*E5b!I33</f>
        <v>47.5</v>
      </c>
      <c r="W33">
        <f>(1-J33)*E5b!J33</f>
        <v>75</v>
      </c>
      <c r="X33">
        <f>(1-K33)*E5b!K33</f>
        <v>143.75000000000014</v>
      </c>
      <c r="Y33">
        <f>(1-L33)*E5b!L33</f>
        <v>199.99999999999994</v>
      </c>
      <c r="Z33">
        <f>(1-M33)*E5b!M33</f>
        <v>499.99999999999989</v>
      </c>
      <c r="AA33">
        <v>1</v>
      </c>
      <c r="AB33" s="3">
        <f>(E5b!C33-P33-(E5b!B33-O33))/(E5b!C33-E5b!B33)</f>
        <v>0</v>
      </c>
      <c r="AC33" s="68">
        <f>(E5b!D33-Q33-(E5b!C33-P33))/(E5b!D33-E5b!C33)</f>
        <v>0.49285714285714249</v>
      </c>
      <c r="AD33" s="68">
        <f>(E5b!E33-R33-(E5b!D33-Q33))/(E5b!E33-E5b!D33)</f>
        <v>0.39218750000000036</v>
      </c>
      <c r="AE33" s="3">
        <f>(E5b!F33-S33-(E5b!E33-R33))/(E5b!F33-E5b!E33)</f>
        <v>0.36583333333333329</v>
      </c>
      <c r="AF33" s="3">
        <f>(E5b!G33-T33-(E5b!F33-S33))/(E5b!G33-E5b!F33)</f>
        <v>0.40955882352941175</v>
      </c>
      <c r="AG33" s="3">
        <f>(E5b!H33-U33-(E5b!G33-T33))/(E5b!H33-E5b!G33)</f>
        <v>0.49166666666666681</v>
      </c>
      <c r="AH33" s="3">
        <f>(E5b!I33-V33-(E5b!H33-U33))/(E5b!I33-E5b!H33)</f>
        <v>0.62499999999999989</v>
      </c>
      <c r="AI33" s="3">
        <f>(E5b!J33-W33-(E5b!I33-V33))/(E5b!J33-E5b!I33)</f>
        <v>0.72499999999999998</v>
      </c>
      <c r="AJ33" s="3">
        <f>(E5b!K33-X33-(E5b!J33-W33))/(E5b!K33-E5b!J33)</f>
        <v>0.77083333333333293</v>
      </c>
      <c r="AK33" s="3">
        <f>(E5b!L33-Y33-(E5b!K33-X33))/(E5b!L33-E5b!K33)</f>
        <v>0.88750000000000018</v>
      </c>
      <c r="AL33" s="3">
        <f>(E5b!M33-Z33-(E5b!L33-Y33))/(E5b!M33-E5b!L33)</f>
        <v>0.92500000000000004</v>
      </c>
    </row>
    <row r="34" spans="1:38" ht="15.75" customHeight="1" x14ac:dyDescent="0.25">
      <c r="A34" s="21">
        <v>2056</v>
      </c>
      <c r="B34" s="22">
        <f t="shared" si="2"/>
        <v>0</v>
      </c>
      <c r="C34" s="22">
        <f t="shared" si="2"/>
        <v>0</v>
      </c>
      <c r="D34" s="76">
        <f t="shared" si="2"/>
        <v>0.15</v>
      </c>
      <c r="E34" s="22">
        <f t="shared" si="2"/>
        <v>0.21500000000000002</v>
      </c>
      <c r="F34" s="22">
        <f t="shared" si="2"/>
        <v>0.26500000000000001</v>
      </c>
      <c r="G34" s="22">
        <f t="shared" si="2"/>
        <v>0.33</v>
      </c>
      <c r="H34" s="22">
        <f t="shared" si="2"/>
        <v>0.43000000000000005</v>
      </c>
      <c r="I34" s="22">
        <f t="shared" si="2"/>
        <v>0.53</v>
      </c>
      <c r="J34" s="22">
        <f t="shared" si="2"/>
        <v>0.63</v>
      </c>
      <c r="K34" s="22">
        <f t="shared" si="2"/>
        <v>0.71499999999999964</v>
      </c>
      <c r="L34" s="22">
        <f t="shared" si="2"/>
        <v>0.8</v>
      </c>
      <c r="M34" s="22">
        <f t="shared" si="2"/>
        <v>0.9</v>
      </c>
      <c r="N34" s="22"/>
      <c r="O34" s="71">
        <f>(1-B34)*E5b!B34</f>
        <v>3</v>
      </c>
      <c r="P34" s="71">
        <f>(1-C34)*E5b!C34</f>
        <v>4</v>
      </c>
      <c r="Q34" s="2">
        <f>(1-D34)*E5b!D34</f>
        <v>4.8450000000000006</v>
      </c>
      <c r="R34" s="2">
        <f>(1-E34)*E5b!E34</f>
        <v>6.0445000000000002</v>
      </c>
      <c r="S34" s="2">
        <f>(1-F34)*E5b!F34</f>
        <v>8.3790000000000013</v>
      </c>
      <c r="T34">
        <f>(1-G34)*E5b!G34</f>
        <v>13.399999999999999</v>
      </c>
      <c r="U34">
        <f>(1-H34)*E5b!H34</f>
        <v>28.499999999999996</v>
      </c>
      <c r="V34">
        <f>(1-I34)*E5b!I34</f>
        <v>47</v>
      </c>
      <c r="W34">
        <f>(1-J34)*E5b!J34</f>
        <v>74</v>
      </c>
      <c r="X34">
        <f>(1-K34)*E5b!K34</f>
        <v>142.50000000000017</v>
      </c>
      <c r="Y34">
        <f>(1-L34)*E5b!L34</f>
        <v>199.99999999999994</v>
      </c>
      <c r="Z34">
        <f>(1-M34)*E5b!M34</f>
        <v>499.99999999999989</v>
      </c>
      <c r="AA34">
        <v>1</v>
      </c>
      <c r="AB34" s="3">
        <f>(E5b!C34-P34-(E5b!B34-O34))/(E5b!C34-E5b!B34)</f>
        <v>0</v>
      </c>
      <c r="AC34" s="68">
        <f>(E5b!D34-Q34-(E5b!C34-P34))/(E5b!D34-E5b!C34)</f>
        <v>0.50294117647058822</v>
      </c>
      <c r="AD34" s="68">
        <f>(E5b!E34-R34-(E5b!D34-Q34))/(E5b!E34-E5b!D34)</f>
        <v>0.40025000000000022</v>
      </c>
      <c r="AE34" s="3">
        <f>(E5b!F34-S34-(E5b!E34-R34))/(E5b!F34-E5b!E34)</f>
        <v>0.36905405405405395</v>
      </c>
      <c r="AF34" s="3">
        <f>(E5b!G34-T34-(E5b!F34-S34))/(E5b!G34-E5b!F34)</f>
        <v>0.41616279069767459</v>
      </c>
      <c r="AG34" s="3">
        <f>(E5b!H34-U34-(E5b!G34-T34))/(E5b!H34-E5b!G34)</f>
        <v>0.49666666666666676</v>
      </c>
      <c r="AH34" s="3">
        <f>(E5b!I34-V34-(E5b!H34-U34))/(E5b!I34-E5b!H34)</f>
        <v>0.62999999999999989</v>
      </c>
      <c r="AI34" s="3">
        <f>(E5b!J34-W34-(E5b!I34-V34))/(E5b!J34-E5b!I34)</f>
        <v>0.73</v>
      </c>
      <c r="AJ34" s="3">
        <f>(E5b!K34-X34-(E5b!J34-W34))/(E5b!K34-E5b!J34)</f>
        <v>0.77166666666666606</v>
      </c>
      <c r="AK34" s="3">
        <f>(E5b!L34-Y34-(E5b!K34-X34))/(E5b!L34-E5b!K34)</f>
        <v>0.88500000000000034</v>
      </c>
      <c r="AL34" s="3">
        <f>(E5b!M34-Z34-(E5b!L34-Y34))/(E5b!M34-E5b!L34)</f>
        <v>0.92500000000000004</v>
      </c>
    </row>
    <row r="35" spans="1:38" ht="15.75" customHeight="1" x14ac:dyDescent="0.25">
      <c r="A35" s="21">
        <v>2057</v>
      </c>
      <c r="B35" s="22">
        <f t="shared" si="2"/>
        <v>0</v>
      </c>
      <c r="C35" s="22">
        <f t="shared" si="2"/>
        <v>0</v>
      </c>
      <c r="D35" s="76">
        <f t="shared" si="2"/>
        <v>0.15</v>
      </c>
      <c r="E35" s="22">
        <f t="shared" si="2"/>
        <v>0.21750000000000003</v>
      </c>
      <c r="F35" s="22">
        <f t="shared" si="2"/>
        <v>0.26750000000000002</v>
      </c>
      <c r="G35" s="22">
        <f t="shared" si="2"/>
        <v>0.33500000000000002</v>
      </c>
      <c r="H35" s="22">
        <f t="shared" si="2"/>
        <v>0.43500000000000005</v>
      </c>
      <c r="I35" s="22">
        <f t="shared" si="2"/>
        <v>0.53500000000000003</v>
      </c>
      <c r="J35" s="22">
        <f t="shared" si="2"/>
        <v>0.63500000000000001</v>
      </c>
      <c r="K35" s="22">
        <f t="shared" si="2"/>
        <v>0.71749999999999958</v>
      </c>
      <c r="L35" s="22">
        <f t="shared" si="2"/>
        <v>0.8</v>
      </c>
      <c r="M35" s="22">
        <f t="shared" si="2"/>
        <v>0.9</v>
      </c>
      <c r="N35" s="22"/>
      <c r="O35" s="71">
        <f>(1-B35)*E5b!B35</f>
        <v>3</v>
      </c>
      <c r="P35" s="71">
        <f>(1-C35)*E5b!C35</f>
        <v>4</v>
      </c>
      <c r="Q35" s="2">
        <f>(1-D35)*E5b!D35</f>
        <v>4.8025000000000011</v>
      </c>
      <c r="R35" s="2">
        <f>(1-E35)*E5b!E35</f>
        <v>5.9861250000000004</v>
      </c>
      <c r="S35" s="2">
        <f>(1-F35)*E5b!F35</f>
        <v>8.2772500000000004</v>
      </c>
      <c r="T35">
        <f>(1-G35)*E5b!G35</f>
        <v>13.3</v>
      </c>
      <c r="U35">
        <f>(1-H35)*E5b!H35</f>
        <v>28.249999999999996</v>
      </c>
      <c r="V35">
        <f>(1-I35)*E5b!I35</f>
        <v>46.5</v>
      </c>
      <c r="W35">
        <f>(1-J35)*E5b!J35</f>
        <v>73</v>
      </c>
      <c r="X35">
        <f>(1-K35)*E5b!K35</f>
        <v>141.2500000000002</v>
      </c>
      <c r="Y35">
        <f>(1-L35)*E5b!L35</f>
        <v>199.99999999999994</v>
      </c>
      <c r="Z35">
        <f>(1-M35)*E5b!M35</f>
        <v>499.99999999999989</v>
      </c>
      <c r="AA35">
        <v>1</v>
      </c>
      <c r="AB35" s="3">
        <f>(E5b!C35-P35-(E5b!B35-O35))/(E5b!C35-E5b!B35)</f>
        <v>0</v>
      </c>
      <c r="AC35" s="68">
        <f>(E5b!D35-Q35-(E5b!C35-P35))/(E5b!D35-E5b!C35)</f>
        <v>0.51363636363636334</v>
      </c>
      <c r="AD35" s="68">
        <f>(E5b!E35-R35-(E5b!D35-Q35))/(E5b!E35-E5b!D35)</f>
        <v>0.40818750000000037</v>
      </c>
      <c r="AE35" s="3">
        <f>(E5b!F35-S35-(E5b!E35-R35))/(E5b!F35-E5b!E35)</f>
        <v>0.37229452054794537</v>
      </c>
      <c r="AF35" s="3">
        <f>(E5b!G35-T35-(E5b!F35-S35))/(E5b!G35-E5b!F35)</f>
        <v>0.42267241379310327</v>
      </c>
      <c r="AG35" s="3">
        <f>(E5b!H35-U35-(E5b!G35-T35))/(E5b!H35-E5b!G35)</f>
        <v>0.50166666666666682</v>
      </c>
      <c r="AH35" s="3">
        <f>(E5b!I35-V35-(E5b!H35-U35))/(E5b!I35-E5b!H35)</f>
        <v>0.6349999999999999</v>
      </c>
      <c r="AI35" s="3">
        <f>(E5b!J35-W35-(E5b!I35-V35))/(E5b!J35-E5b!I35)</f>
        <v>0.73499999999999999</v>
      </c>
      <c r="AJ35" s="3">
        <f>(E5b!K35-X35-(E5b!J35-W35))/(E5b!K35-E5b!J35)</f>
        <v>0.77249999999999919</v>
      </c>
      <c r="AK35" s="3">
        <f>(E5b!L35-Y35-(E5b!K35-X35))/(E5b!L35-E5b!K35)</f>
        <v>0.88250000000000051</v>
      </c>
      <c r="AL35" s="3">
        <f>(E5b!M35-Z35-(E5b!L35-Y35))/(E5b!M35-E5b!L35)</f>
        <v>0.92500000000000004</v>
      </c>
    </row>
    <row r="36" spans="1:38" ht="15.75" customHeight="1" x14ac:dyDescent="0.25">
      <c r="A36" s="21">
        <v>2058</v>
      </c>
      <c r="B36" s="22">
        <f t="shared" si="2"/>
        <v>0</v>
      </c>
      <c r="C36" s="22">
        <f t="shared" si="2"/>
        <v>0</v>
      </c>
      <c r="D36" s="76">
        <f t="shared" si="2"/>
        <v>0.15</v>
      </c>
      <c r="E36" s="22">
        <f t="shared" si="2"/>
        <v>0.22000000000000003</v>
      </c>
      <c r="F36" s="22">
        <f t="shared" si="2"/>
        <v>0.27</v>
      </c>
      <c r="G36" s="22">
        <f t="shared" si="2"/>
        <v>0.34</v>
      </c>
      <c r="H36" s="22">
        <f t="shared" si="2"/>
        <v>0.44000000000000006</v>
      </c>
      <c r="I36" s="22">
        <f t="shared" si="2"/>
        <v>0.54</v>
      </c>
      <c r="J36" s="22">
        <f t="shared" si="2"/>
        <v>0.64</v>
      </c>
      <c r="K36" s="22">
        <f t="shared" si="2"/>
        <v>0.71999999999999953</v>
      </c>
      <c r="L36" s="22">
        <f t="shared" si="2"/>
        <v>0.8</v>
      </c>
      <c r="M36" s="22">
        <f t="shared" si="2"/>
        <v>0.9</v>
      </c>
      <c r="N36" s="22"/>
      <c r="O36" s="71">
        <f>(1-B36)*E5b!B36</f>
        <v>3</v>
      </c>
      <c r="P36" s="71">
        <f>(1-C36)*E5b!C36</f>
        <v>4</v>
      </c>
      <c r="Q36" s="2">
        <f>(1-D36)*E5b!D36</f>
        <v>4.7600000000000007</v>
      </c>
      <c r="R36" s="2">
        <f>(1-E36)*E5b!E36</f>
        <v>5.9280000000000017</v>
      </c>
      <c r="S36" s="2">
        <f>(1-F36)*E5b!F36</f>
        <v>8.1760000000000019</v>
      </c>
      <c r="T36">
        <f>(1-G36)*E5b!G36</f>
        <v>13.2</v>
      </c>
      <c r="U36">
        <f>(1-H36)*E5b!H36</f>
        <v>27.999999999999996</v>
      </c>
      <c r="V36">
        <f>(1-I36)*E5b!I36</f>
        <v>46</v>
      </c>
      <c r="W36">
        <f>(1-J36)*E5b!J36</f>
        <v>72</v>
      </c>
      <c r="X36">
        <f>(1-K36)*E5b!K36</f>
        <v>140.00000000000023</v>
      </c>
      <c r="Y36">
        <f>(1-L36)*E5b!L36</f>
        <v>199.99999999999994</v>
      </c>
      <c r="Z36">
        <f>(1-M36)*E5b!M36</f>
        <v>499.99999999999989</v>
      </c>
      <c r="AA36">
        <v>1</v>
      </c>
      <c r="AB36" s="3">
        <f>(E5b!C36-P36-(E5b!B36-O36))/(E5b!C36-E5b!B36)</f>
        <v>0</v>
      </c>
      <c r="AC36" s="68">
        <f>(E5b!D36-Q36-(E5b!C36-P36))/(E5b!D36-E5b!C36)</f>
        <v>0.52500000000000002</v>
      </c>
      <c r="AD36" s="68">
        <f>(E5b!E36-R36-(E5b!D36-Q36))/(E5b!E36-E5b!D36)</f>
        <v>0.41599999999999948</v>
      </c>
      <c r="AE36" s="3">
        <f>(E5b!F36-S36-(E5b!E36-R36))/(E5b!F36-E5b!E36)</f>
        <v>0.37555555555555575</v>
      </c>
      <c r="AF36" s="3">
        <f>(E5b!G36-T36-(E5b!F36-S36))/(E5b!G36-E5b!F36)</f>
        <v>0.42909090909090919</v>
      </c>
      <c r="AG36" s="3">
        <f>(E5b!H36-U36-(E5b!G36-T36))/(E5b!H36-E5b!G36)</f>
        <v>0.50666666666666671</v>
      </c>
      <c r="AH36" s="3">
        <f>(E5b!I36-V36-(E5b!H36-U36))/(E5b!I36-E5b!H36)</f>
        <v>0.6399999999999999</v>
      </c>
      <c r="AI36" s="3">
        <f>(E5b!J36-W36-(E5b!I36-V36))/(E5b!J36-E5b!I36)</f>
        <v>0.74</v>
      </c>
      <c r="AJ36" s="3">
        <f>(E5b!K36-X36-(E5b!J36-W36))/(E5b!K36-E5b!J36)</f>
        <v>0.77333333333333254</v>
      </c>
      <c r="AK36" s="3">
        <f>(E5b!L36-Y36-(E5b!K36-X36))/(E5b!L36-E5b!K36)</f>
        <v>0.88000000000000045</v>
      </c>
      <c r="AL36" s="3">
        <f>(E5b!M36-Z36-(E5b!L36-Y36))/(E5b!M36-E5b!L36)</f>
        <v>0.92500000000000004</v>
      </c>
    </row>
    <row r="37" spans="1:38" ht="15.75" customHeight="1" x14ac:dyDescent="0.25">
      <c r="A37" s="21">
        <v>2059</v>
      </c>
      <c r="B37" s="22">
        <f t="shared" si="2"/>
        <v>0</v>
      </c>
      <c r="C37" s="22">
        <f t="shared" si="2"/>
        <v>0</v>
      </c>
      <c r="D37" s="76">
        <f t="shared" si="2"/>
        <v>0.15</v>
      </c>
      <c r="E37" s="22">
        <f t="shared" si="2"/>
        <v>0.22250000000000003</v>
      </c>
      <c r="F37" s="22">
        <f t="shared" si="2"/>
        <v>0.27250000000000002</v>
      </c>
      <c r="G37" s="22">
        <f t="shared" si="2"/>
        <v>0.34500000000000003</v>
      </c>
      <c r="H37" s="22">
        <f t="shared" si="2"/>
        <v>0.44500000000000006</v>
      </c>
      <c r="I37" s="22">
        <f t="shared" si="2"/>
        <v>0.54500000000000004</v>
      </c>
      <c r="J37" s="22">
        <f t="shared" si="2"/>
        <v>0.64500000000000002</v>
      </c>
      <c r="K37" s="22">
        <f t="shared" si="2"/>
        <v>0.72249999999999948</v>
      </c>
      <c r="L37" s="22">
        <f t="shared" si="2"/>
        <v>0.8</v>
      </c>
      <c r="M37" s="22">
        <f t="shared" si="2"/>
        <v>0.9</v>
      </c>
      <c r="N37" s="22"/>
      <c r="O37" s="71">
        <f>(1-B37)*E5b!B37</f>
        <v>3</v>
      </c>
      <c r="P37" s="71">
        <f>(1-C37)*E5b!C37</f>
        <v>4</v>
      </c>
      <c r="Q37" s="2">
        <f>(1-D37)*E5b!D37</f>
        <v>4.7175000000000011</v>
      </c>
      <c r="R37" s="2">
        <f>(1-E37)*E5b!E37</f>
        <v>5.8701250000000007</v>
      </c>
      <c r="S37" s="2">
        <f>(1-F37)*E5b!F37</f>
        <v>8.0752500000000023</v>
      </c>
      <c r="T37">
        <f>(1-G37)*E5b!G37</f>
        <v>13.100000000000001</v>
      </c>
      <c r="U37">
        <f>(1-H37)*E5b!H37</f>
        <v>27.749999999999996</v>
      </c>
      <c r="V37">
        <f>(1-I37)*E5b!I37</f>
        <v>45.499999999999993</v>
      </c>
      <c r="W37">
        <f>(1-J37)*E5b!J37</f>
        <v>71</v>
      </c>
      <c r="X37">
        <f>(1-K37)*E5b!K37</f>
        <v>138.75000000000026</v>
      </c>
      <c r="Y37">
        <f>(1-L37)*E5b!L37</f>
        <v>199.99999999999994</v>
      </c>
      <c r="Z37">
        <f>(1-M37)*E5b!M37</f>
        <v>499.99999999999989</v>
      </c>
      <c r="AA37">
        <v>1</v>
      </c>
      <c r="AB37" s="3">
        <f>(E5b!C37-P37-(E5b!B37-O37))/(E5b!C37-E5b!B37)</f>
        <v>0</v>
      </c>
      <c r="AC37" s="68">
        <f>(E5b!D37-Q37-(E5b!C37-P37))/(E5b!D37-E5b!C37)</f>
        <v>0.53709677419354818</v>
      </c>
      <c r="AD37" s="68">
        <f>(E5b!E37-R37-(E5b!D37-Q37))/(E5b!E37-E5b!D37)</f>
        <v>0.42368750000000022</v>
      </c>
      <c r="AE37" s="3">
        <f>(E5b!F37-S37-(E5b!E37-R37))/(E5b!F37-E5b!E37)</f>
        <v>0.37883802816901391</v>
      </c>
      <c r="AF37" s="3">
        <f>(E5b!G37-T37-(E5b!F37-S37))/(E5b!G37-E5b!F37)</f>
        <v>0.43542134831460666</v>
      </c>
      <c r="AG37" s="3">
        <f>(E5b!H37-U37-(E5b!G37-T37))/(E5b!H37-E5b!G37)</f>
        <v>0.51166666666666683</v>
      </c>
      <c r="AH37" s="3">
        <f>(E5b!I37-V37-(E5b!H37-U37))/(E5b!I37-E5b!H37)</f>
        <v>0.64500000000000002</v>
      </c>
      <c r="AI37" s="3">
        <f>(E5b!J37-W37-(E5b!I37-V37))/(E5b!J37-E5b!I37)</f>
        <v>0.745</v>
      </c>
      <c r="AJ37" s="3">
        <f>(E5b!K37-X37-(E5b!J37-W37))/(E5b!K37-E5b!J37)</f>
        <v>0.77416666666666589</v>
      </c>
      <c r="AK37" s="3">
        <f>(E5b!L37-Y37-(E5b!K37-X37))/(E5b!L37-E5b!K37)</f>
        <v>0.8775000000000005</v>
      </c>
      <c r="AL37" s="3">
        <f>(E5b!M37-Z37-(E5b!L37-Y37))/(E5b!M37-E5b!L37)</f>
        <v>0.92500000000000004</v>
      </c>
    </row>
    <row r="38" spans="1:38" ht="15.75" customHeight="1" x14ac:dyDescent="0.25">
      <c r="A38" s="21">
        <v>2060</v>
      </c>
      <c r="B38" s="22">
        <f t="shared" si="2"/>
        <v>0</v>
      </c>
      <c r="C38" s="22">
        <f t="shared" si="2"/>
        <v>0</v>
      </c>
      <c r="D38" s="76">
        <f t="shared" si="2"/>
        <v>0.15</v>
      </c>
      <c r="E38" s="22">
        <f t="shared" si="2"/>
        <v>0.22500000000000003</v>
      </c>
      <c r="F38" s="22">
        <f t="shared" si="2"/>
        <v>0.27500000000000002</v>
      </c>
      <c r="G38" s="22">
        <f t="shared" si="2"/>
        <v>0.35000000000000003</v>
      </c>
      <c r="H38" s="22">
        <f t="shared" si="2"/>
        <v>0.45000000000000007</v>
      </c>
      <c r="I38" s="22">
        <f t="shared" si="2"/>
        <v>0.55000000000000004</v>
      </c>
      <c r="J38" s="22">
        <f t="shared" si="2"/>
        <v>0.65</v>
      </c>
      <c r="K38" s="22">
        <f t="shared" si="2"/>
        <v>0.72499999999999942</v>
      </c>
      <c r="L38" s="22">
        <f t="shared" si="2"/>
        <v>0.8</v>
      </c>
      <c r="M38" s="22">
        <f t="shared" si="2"/>
        <v>0.9</v>
      </c>
      <c r="N38" s="22"/>
      <c r="O38" s="71">
        <f>(1-B38)*E5b!B38</f>
        <v>3</v>
      </c>
      <c r="P38" s="71">
        <f>(1-C38)*E5b!C38</f>
        <v>4</v>
      </c>
      <c r="Q38" s="2">
        <f>(1-D38)*E5b!D38</f>
        <v>4.6750000000000016</v>
      </c>
      <c r="R38" s="2">
        <f>(1-E38)*E5b!E38</f>
        <v>5.8125000000000009</v>
      </c>
      <c r="S38" s="2">
        <f>(1-F38)*E5b!F38</f>
        <v>7.9750000000000023</v>
      </c>
      <c r="T38">
        <f>(1-G38)*E5b!G38</f>
        <v>12.999999999999998</v>
      </c>
      <c r="U38">
        <f>(1-H38)*E5b!H38</f>
        <v>27.499999999999996</v>
      </c>
      <c r="V38">
        <f>(1-I38)*E5b!I38</f>
        <v>44.999999999999993</v>
      </c>
      <c r="W38">
        <f>(1-J38)*E5b!J38</f>
        <v>70</v>
      </c>
      <c r="X38">
        <f>(1-K38)*E5b!K38</f>
        <v>137.50000000000028</v>
      </c>
      <c r="Y38">
        <f>(1-L38)*E5b!L38</f>
        <v>199.99999999999994</v>
      </c>
      <c r="Z38">
        <f>(1-M38)*E5b!M38</f>
        <v>499.99999999999989</v>
      </c>
      <c r="AA38">
        <v>1</v>
      </c>
      <c r="AB38" s="3">
        <f>(E5b!C38-P38-(E5b!B38-O38))/(E5b!C38-E5b!B38)</f>
        <v>0</v>
      </c>
      <c r="AC38" s="68">
        <f>(E5b!D38-Q38-(E5b!C38-P38))/(E5b!D38-E5b!C38)</f>
        <v>0.54999999999999949</v>
      </c>
      <c r="AD38" s="68">
        <f>(E5b!E38-R38-(E5b!D38-Q38))/(E5b!E38-E5b!D38)</f>
        <v>0.43125000000000036</v>
      </c>
      <c r="AE38" s="3">
        <f>(E5b!F38-S38-(E5b!E38-R38))/(E5b!F38-E5b!E38)</f>
        <v>0.38214285714285706</v>
      </c>
      <c r="AF38" s="3">
        <f>(E5b!G38-T38-(E5b!F38-S38))/(E5b!G38-E5b!F38)</f>
        <v>0.44166666666666687</v>
      </c>
      <c r="AG38" s="3">
        <f>(E5b!H38-U38-(E5b!G38-T38))/(E5b!H38-E5b!G38)</f>
        <v>0.51666666666666672</v>
      </c>
      <c r="AH38" s="3">
        <f>(E5b!I38-V38-(E5b!H38-U38))/(E5b!I38-E5b!H38)</f>
        <v>0.65</v>
      </c>
      <c r="AI38" s="3">
        <f>(E5b!J38-W38-(E5b!I38-V38))/(E5b!J38-E5b!I38)</f>
        <v>0.75</v>
      </c>
      <c r="AJ38" s="3">
        <f>(E5b!K38-X38-(E5b!J38-W38))/(E5b!K38-E5b!J38)</f>
        <v>0.77499999999999902</v>
      </c>
      <c r="AK38" s="3">
        <f>(E5b!L38-Y38-(E5b!K38-X38))/(E5b!L38-E5b!K38)</f>
        <v>0.87500000000000056</v>
      </c>
      <c r="AL38" s="3">
        <f>(E5b!M38-Z38-(E5b!L38-Y38))/(E5b!M38-E5b!L38)</f>
        <v>0.92500000000000004</v>
      </c>
    </row>
    <row r="39" spans="1:38" ht="15.75" customHeight="1" x14ac:dyDescent="0.25">
      <c r="A39" s="21">
        <v>2061</v>
      </c>
      <c r="B39" s="22">
        <f t="shared" si="2"/>
        <v>0</v>
      </c>
      <c r="C39" s="22">
        <f t="shared" si="2"/>
        <v>0</v>
      </c>
      <c r="D39" s="76">
        <f t="shared" si="2"/>
        <v>0.15</v>
      </c>
      <c r="E39" s="22">
        <f t="shared" si="2"/>
        <v>0.22750000000000004</v>
      </c>
      <c r="F39" s="22">
        <f t="shared" si="2"/>
        <v>0.27750000000000002</v>
      </c>
      <c r="G39" s="22">
        <f t="shared" si="2"/>
        <v>0.35500000000000004</v>
      </c>
      <c r="H39" s="22">
        <f t="shared" si="2"/>
        <v>0.45500000000000007</v>
      </c>
      <c r="I39" s="22">
        <f t="shared" si="2"/>
        <v>0.55500000000000005</v>
      </c>
      <c r="J39" s="22">
        <f t="shared" si="2"/>
        <v>0.65500000000000003</v>
      </c>
      <c r="K39" s="22">
        <f t="shared" si="2"/>
        <v>0.72749999999999937</v>
      </c>
      <c r="L39" s="22">
        <f t="shared" si="2"/>
        <v>0.8</v>
      </c>
      <c r="M39" s="22">
        <f t="shared" si="2"/>
        <v>0.9</v>
      </c>
      <c r="N39" s="22"/>
      <c r="O39" s="71">
        <f>(1-B39)*E5b!B39</f>
        <v>3</v>
      </c>
      <c r="P39" s="71">
        <f>(1-C39)*E5b!C39</f>
        <v>4</v>
      </c>
      <c r="Q39" s="2">
        <f>(1-D39)*E5b!D39</f>
        <v>4.6325000000000012</v>
      </c>
      <c r="R39" s="2">
        <f>(1-E39)*E5b!E39</f>
        <v>5.7551250000000014</v>
      </c>
      <c r="S39" s="2">
        <f>(1-F39)*E5b!F39</f>
        <v>7.8752500000000021</v>
      </c>
      <c r="T39">
        <f>(1-G39)*E5b!G39</f>
        <v>12.9</v>
      </c>
      <c r="U39">
        <f>(1-H39)*E5b!H39</f>
        <v>27.249999999999996</v>
      </c>
      <c r="V39">
        <f>(1-I39)*E5b!I39</f>
        <v>44.499999999999993</v>
      </c>
      <c r="W39">
        <f>(1-J39)*E5b!J39</f>
        <v>69</v>
      </c>
      <c r="X39">
        <f>(1-K39)*E5b!K39</f>
        <v>136.25000000000031</v>
      </c>
      <c r="Y39">
        <f>(1-L39)*E5b!L39</f>
        <v>199.99999999999994</v>
      </c>
      <c r="Z39">
        <f>(1-M39)*E5b!M39</f>
        <v>499.99999999999989</v>
      </c>
      <c r="AA39">
        <v>1</v>
      </c>
      <c r="AB39" s="3">
        <f>(E5b!C39-P39-(E5b!B39-O39))/(E5b!C39-E5b!B39)</f>
        <v>0</v>
      </c>
      <c r="AC39" s="68">
        <f>(E5b!D39-Q39-(E5b!C39-P39))/(E5b!D39-E5b!C39)</f>
        <v>0.5637931034482756</v>
      </c>
      <c r="AD39" s="68">
        <f>(E5b!E39-R39-(E5b!D39-Q39))/(E5b!E39-E5b!D39)</f>
        <v>0.4386874999999999</v>
      </c>
      <c r="AE39" s="3">
        <f>(E5b!F39-S39-(E5b!E39-R39))/(E5b!F39-E5b!E39)</f>
        <v>0.38547101449275378</v>
      </c>
      <c r="AF39" s="3">
        <f>(E5b!G39-T39-(E5b!F39-S39))/(E5b!G39-E5b!F39)</f>
        <v>0.4478296703296703</v>
      </c>
      <c r="AG39" s="3">
        <f>(E5b!H39-U39-(E5b!G39-T39))/(E5b!H39-E5b!G39)</f>
        <v>0.52166666666666683</v>
      </c>
      <c r="AH39" s="3">
        <f>(E5b!I39-V39-(E5b!H39-U39))/(E5b!I39-E5b!H39)</f>
        <v>0.65500000000000003</v>
      </c>
      <c r="AI39" s="3">
        <f>(E5b!J39-W39-(E5b!I39-V39))/(E5b!J39-E5b!I39)</f>
        <v>0.755</v>
      </c>
      <c r="AJ39" s="3">
        <f>(E5b!K39-X39-(E5b!J39-W39))/(E5b!K39-E5b!J39)</f>
        <v>0.77583333333333215</v>
      </c>
      <c r="AK39" s="3">
        <f>(E5b!L39-Y39-(E5b!K39-X39))/(E5b!L39-E5b!K39)</f>
        <v>0.87250000000000072</v>
      </c>
      <c r="AL39" s="3">
        <f>(E5b!M39-Z39-(E5b!L39-Y39))/(E5b!M39-E5b!L39)</f>
        <v>0.92500000000000004</v>
      </c>
    </row>
    <row r="40" spans="1:38" ht="15.75" customHeight="1" x14ac:dyDescent="0.25">
      <c r="A40" s="21">
        <v>2062</v>
      </c>
      <c r="B40" s="22">
        <f t="shared" si="2"/>
        <v>0</v>
      </c>
      <c r="C40" s="22">
        <f t="shared" si="2"/>
        <v>0</v>
      </c>
      <c r="D40" s="76">
        <f t="shared" si="2"/>
        <v>0.15</v>
      </c>
      <c r="E40" s="22">
        <f t="shared" si="2"/>
        <v>0.23000000000000004</v>
      </c>
      <c r="F40" s="22">
        <f t="shared" si="2"/>
        <v>0.28000000000000003</v>
      </c>
      <c r="G40" s="22">
        <f t="shared" si="2"/>
        <v>0.36000000000000004</v>
      </c>
      <c r="H40" s="22">
        <f t="shared" si="2"/>
        <v>0.46000000000000008</v>
      </c>
      <c r="I40" s="22">
        <f t="shared" si="2"/>
        <v>0.56000000000000005</v>
      </c>
      <c r="J40" s="22">
        <f t="shared" si="2"/>
        <v>0.66</v>
      </c>
      <c r="K40" s="22">
        <f t="shared" si="2"/>
        <v>0.72999999999999932</v>
      </c>
      <c r="L40" s="22">
        <f t="shared" si="2"/>
        <v>0.8</v>
      </c>
      <c r="M40" s="22">
        <f t="shared" si="2"/>
        <v>0.9</v>
      </c>
      <c r="N40" s="22"/>
      <c r="O40" s="71">
        <f>(1-B40)*E5b!B40</f>
        <v>3</v>
      </c>
      <c r="P40" s="71">
        <f>(1-C40)*E5b!C40</f>
        <v>4</v>
      </c>
      <c r="Q40" s="2">
        <f>(1-D40)*E5b!D40</f>
        <v>4.5900000000000016</v>
      </c>
      <c r="R40" s="2">
        <f>(1-E40)*E5b!E40</f>
        <v>5.6980000000000022</v>
      </c>
      <c r="S40" s="2">
        <f>(1-F40)*E5b!F40</f>
        <v>7.7760000000000025</v>
      </c>
      <c r="T40">
        <f>(1-G40)*E5b!G40</f>
        <v>12.799999999999997</v>
      </c>
      <c r="U40">
        <f>(1-H40)*E5b!H40</f>
        <v>26.999999999999996</v>
      </c>
      <c r="V40">
        <f>(1-I40)*E5b!I40</f>
        <v>43.999999999999993</v>
      </c>
      <c r="W40">
        <f>(1-J40)*E5b!J40</f>
        <v>68</v>
      </c>
      <c r="X40">
        <f>(1-K40)*E5b!K40</f>
        <v>135.00000000000034</v>
      </c>
      <c r="Y40">
        <f>(1-L40)*E5b!L40</f>
        <v>199.99999999999994</v>
      </c>
      <c r="Z40">
        <f>(1-M40)*E5b!M40</f>
        <v>499.99999999999989</v>
      </c>
      <c r="AA40">
        <v>1</v>
      </c>
      <c r="AB40" s="3">
        <f>(E5b!C40-P40-(E5b!B40-O40))/(E5b!C40-E5b!B40)</f>
        <v>0</v>
      </c>
      <c r="AC40" s="68">
        <f>(E5b!D40-Q40-(E5b!C40-P40))/(E5b!D40-E5b!C40)</f>
        <v>0.57857142857142807</v>
      </c>
      <c r="AD40" s="68">
        <f>(E5b!E40-R40-(E5b!D40-Q40))/(E5b!E40-E5b!D40)</f>
        <v>0.44599999999999973</v>
      </c>
      <c r="AE40" s="3">
        <f>(E5b!F40-S40-(E5b!E40-R40))/(E5b!F40-E5b!E40)</f>
        <v>0.38882352941176501</v>
      </c>
      <c r="AF40" s="3">
        <f>(E5b!G40-T40-(E5b!F40-S40))/(E5b!G40-E5b!F40)</f>
        <v>0.45391304347826117</v>
      </c>
      <c r="AG40" s="3">
        <f>(E5b!H40-U40-(E5b!G40-T40))/(E5b!H40-E5b!G40)</f>
        <v>0.52666666666666673</v>
      </c>
      <c r="AH40" s="3">
        <f>(E5b!I40-V40-(E5b!H40-U40))/(E5b!I40-E5b!H40)</f>
        <v>0.66</v>
      </c>
      <c r="AI40" s="3">
        <f>(E5b!J40-W40-(E5b!I40-V40))/(E5b!J40-E5b!I40)</f>
        <v>0.76</v>
      </c>
      <c r="AJ40" s="3">
        <f>(E5b!K40-X40-(E5b!J40-W40))/(E5b!K40-E5b!J40)</f>
        <v>0.77666666666666551</v>
      </c>
      <c r="AK40" s="3">
        <f>(E5b!L40-Y40-(E5b!K40-X40))/(E5b!L40-E5b!K40)</f>
        <v>0.87000000000000066</v>
      </c>
      <c r="AL40" s="3">
        <f>(E5b!M40-Z40-(E5b!L40-Y40))/(E5b!M40-E5b!L40)</f>
        <v>0.92500000000000004</v>
      </c>
    </row>
    <row r="41" spans="1:38" ht="15.75" customHeight="1" x14ac:dyDescent="0.25">
      <c r="A41" s="21">
        <v>2063</v>
      </c>
      <c r="B41" s="22">
        <f t="shared" si="2"/>
        <v>0</v>
      </c>
      <c r="C41" s="22">
        <f t="shared" si="2"/>
        <v>0</v>
      </c>
      <c r="D41" s="76">
        <f t="shared" si="2"/>
        <v>0.15</v>
      </c>
      <c r="E41" s="22">
        <f t="shared" si="2"/>
        <v>0.23250000000000004</v>
      </c>
      <c r="F41" s="22">
        <f t="shared" si="2"/>
        <v>0.28250000000000003</v>
      </c>
      <c r="G41" s="22">
        <f t="shared" si="2"/>
        <v>0.36500000000000005</v>
      </c>
      <c r="H41" s="22">
        <f t="shared" si="2"/>
        <v>0.46500000000000008</v>
      </c>
      <c r="I41" s="22">
        <f t="shared" si="2"/>
        <v>0.56500000000000006</v>
      </c>
      <c r="J41" s="22">
        <f t="shared" si="2"/>
        <v>0.66500000000000004</v>
      </c>
      <c r="K41" s="22">
        <f t="shared" si="2"/>
        <v>0.73249999999999926</v>
      </c>
      <c r="L41" s="22">
        <f t="shared" si="2"/>
        <v>0.8</v>
      </c>
      <c r="M41" s="22">
        <f t="shared" si="2"/>
        <v>0.9</v>
      </c>
      <c r="N41" s="22"/>
      <c r="O41" s="71">
        <f>(1-B41)*E5b!B41</f>
        <v>3</v>
      </c>
      <c r="P41" s="71">
        <f>(1-C41)*E5b!C41</f>
        <v>4</v>
      </c>
      <c r="Q41" s="2">
        <f>(1-D41)*E5b!D41</f>
        <v>4.5475000000000021</v>
      </c>
      <c r="R41" s="2">
        <f>(1-E41)*E5b!E41</f>
        <v>5.6411250000000015</v>
      </c>
      <c r="S41" s="2">
        <f>(1-F41)*E5b!F41</f>
        <v>7.6772500000000035</v>
      </c>
      <c r="T41">
        <f>(1-G41)*E5b!G41</f>
        <v>12.7</v>
      </c>
      <c r="U41">
        <f>(1-H41)*E5b!H41</f>
        <v>26.749999999999996</v>
      </c>
      <c r="V41">
        <f>(1-I41)*E5b!I41</f>
        <v>43.499999999999993</v>
      </c>
      <c r="W41">
        <f>(1-J41)*E5b!J41</f>
        <v>67</v>
      </c>
      <c r="X41">
        <f>(1-K41)*E5b!K41</f>
        <v>133.75000000000037</v>
      </c>
      <c r="Y41">
        <f>(1-L41)*E5b!L41</f>
        <v>199.99999999999994</v>
      </c>
      <c r="Z41">
        <f>(1-M41)*E5b!M41</f>
        <v>499.99999999999989</v>
      </c>
      <c r="AA41">
        <v>1</v>
      </c>
      <c r="AB41" s="3">
        <f>(E5b!C41-P41-(E5b!B41-O41))/(E5b!C41-E5b!B41)</f>
        <v>0</v>
      </c>
      <c r="AC41" s="68">
        <f>(E5b!D41-Q41-(E5b!C41-P41))/(E5b!D41-E5b!C41)</f>
        <v>0.59444444444444355</v>
      </c>
      <c r="AD41" s="68">
        <f>(E5b!E41-R41-(E5b!D41-Q41))/(E5b!E41-E5b!D41)</f>
        <v>0.4531875000000003</v>
      </c>
      <c r="AE41" s="3">
        <f>(E5b!F41-S41-(E5b!E41-R41))/(E5b!F41-E5b!E41)</f>
        <v>0.39220149253731329</v>
      </c>
      <c r="AF41" s="3">
        <f>(E5b!G41-T41-(E5b!F41-S41))/(E5b!G41-E5b!F41)</f>
        <v>0.45991935483870988</v>
      </c>
      <c r="AG41" s="3">
        <f>(E5b!H41-U41-(E5b!G41-T41))/(E5b!H41-E5b!G41)</f>
        <v>0.53166666666666673</v>
      </c>
      <c r="AH41" s="3">
        <f>(E5b!I41-V41-(E5b!H41-U41))/(E5b!I41-E5b!H41)</f>
        <v>0.66500000000000004</v>
      </c>
      <c r="AI41" s="3">
        <f>(E5b!J41-W41-(E5b!I41-V41))/(E5b!J41-E5b!I41)</f>
        <v>0.76500000000000001</v>
      </c>
      <c r="AJ41" s="3">
        <f>(E5b!K41-X41-(E5b!J41-W41))/(E5b!K41-E5b!J41)</f>
        <v>0.77749999999999886</v>
      </c>
      <c r="AK41" s="3">
        <f>(E5b!L41-Y41-(E5b!K41-X41))/(E5b!L41-E5b!K41)</f>
        <v>0.86750000000000071</v>
      </c>
      <c r="AL41" s="3">
        <f>(E5b!M41-Z41-(E5b!L41-Y41))/(E5b!M41-E5b!L41)</f>
        <v>0.92500000000000004</v>
      </c>
    </row>
    <row r="42" spans="1:38" ht="15.75" customHeight="1" x14ac:dyDescent="0.25">
      <c r="A42" s="21">
        <v>2064</v>
      </c>
      <c r="B42" s="22">
        <f t="shared" si="2"/>
        <v>0</v>
      </c>
      <c r="C42" s="22">
        <f t="shared" si="2"/>
        <v>0</v>
      </c>
      <c r="D42" s="76">
        <f t="shared" si="2"/>
        <v>0.15</v>
      </c>
      <c r="E42" s="22">
        <f t="shared" si="2"/>
        <v>0.23500000000000004</v>
      </c>
      <c r="F42" s="22">
        <f t="shared" si="2"/>
        <v>0.28500000000000003</v>
      </c>
      <c r="G42" s="22">
        <f t="shared" si="2"/>
        <v>0.37000000000000005</v>
      </c>
      <c r="H42" s="22">
        <f t="shared" si="2"/>
        <v>0.47000000000000008</v>
      </c>
      <c r="I42" s="22">
        <f t="shared" si="2"/>
        <v>0.57000000000000006</v>
      </c>
      <c r="J42" s="22">
        <f t="shared" si="2"/>
        <v>0.67</v>
      </c>
      <c r="K42" s="22">
        <f t="shared" si="2"/>
        <v>0.73499999999999921</v>
      </c>
      <c r="L42" s="22">
        <f t="shared" si="2"/>
        <v>0.8</v>
      </c>
      <c r="M42" s="22">
        <f t="shared" si="2"/>
        <v>0.9</v>
      </c>
      <c r="N42" s="22"/>
      <c r="O42" s="71">
        <f>(1-B42)*E5b!B42</f>
        <v>3</v>
      </c>
      <c r="P42" s="71">
        <f>(1-C42)*E5b!C42</f>
        <v>4</v>
      </c>
      <c r="Q42" s="2">
        <f>(1-D42)*E5b!D42</f>
        <v>4.5050000000000017</v>
      </c>
      <c r="R42" s="2">
        <f>(1-E42)*E5b!E42</f>
        <v>5.5845000000000011</v>
      </c>
      <c r="S42" s="2">
        <f>(1-F42)*E5b!F42</f>
        <v>7.5790000000000033</v>
      </c>
      <c r="T42">
        <f>(1-G42)*E5b!G42</f>
        <v>12.599999999999998</v>
      </c>
      <c r="U42">
        <f>(1-H42)*E5b!H42</f>
        <v>26.499999999999996</v>
      </c>
      <c r="V42">
        <f>(1-I42)*E5b!I42</f>
        <v>42.999999999999993</v>
      </c>
      <c r="W42">
        <f>(1-J42)*E5b!J42</f>
        <v>65.999999999999986</v>
      </c>
      <c r="X42">
        <f>(1-K42)*E5b!K42</f>
        <v>132.5000000000004</v>
      </c>
      <c r="Y42">
        <f>(1-L42)*E5b!L42</f>
        <v>199.99999999999994</v>
      </c>
      <c r="Z42">
        <f>(1-M42)*E5b!M42</f>
        <v>499.99999999999989</v>
      </c>
      <c r="AA42">
        <v>1</v>
      </c>
      <c r="AB42" s="3">
        <f>(E5b!C42-P42-(E5b!B42-O42))/(E5b!C42-E5b!B42)</f>
        <v>0</v>
      </c>
      <c r="AC42" s="68">
        <f>(E5b!D42-Q42-(E5b!C42-P42))/(E5b!D42-E5b!C42)</f>
        <v>0.61153846153846103</v>
      </c>
      <c r="AD42" s="68">
        <f>(E5b!E42-R42-(E5b!D42-Q42))/(E5b!E42-E5b!D42)</f>
        <v>0.46025000000000027</v>
      </c>
      <c r="AE42" s="3">
        <f>(E5b!F42-S42-(E5b!E42-R42))/(E5b!F42-E5b!E42)</f>
        <v>0.39560606060606041</v>
      </c>
      <c r="AF42" s="3">
        <f>(E5b!G42-T42-(E5b!F42-S42))/(E5b!G42-E5b!F42)</f>
        <v>0.46585106382978753</v>
      </c>
      <c r="AG42" s="3">
        <f>(E5b!H42-U42-(E5b!G42-T42))/(E5b!H42-E5b!G42)</f>
        <v>0.53666666666666674</v>
      </c>
      <c r="AH42" s="3">
        <f>(E5b!I42-V42-(E5b!H42-U42))/(E5b!I42-E5b!H42)</f>
        <v>0.67</v>
      </c>
      <c r="AI42" s="3">
        <f>(E5b!J42-W42-(E5b!I42-V42))/(E5b!J42-E5b!I42)</f>
        <v>0.77</v>
      </c>
      <c r="AJ42" s="3">
        <f>(E5b!K42-X42-(E5b!J42-W42))/(E5b!K42-E5b!J42)</f>
        <v>0.77833333333333199</v>
      </c>
      <c r="AK42" s="3">
        <f>(E5b!L42-Y42-(E5b!K42-X42))/(E5b!L42-E5b!K42)</f>
        <v>0.86500000000000077</v>
      </c>
      <c r="AL42" s="3">
        <f>(E5b!M42-Z42-(E5b!L42-Y42))/(E5b!M42-E5b!L42)</f>
        <v>0.92500000000000004</v>
      </c>
    </row>
    <row r="43" spans="1:38" ht="15.75" customHeight="1" x14ac:dyDescent="0.25">
      <c r="A43" s="21">
        <v>2065</v>
      </c>
      <c r="B43" s="22">
        <f t="shared" si="2"/>
        <v>0</v>
      </c>
      <c r="C43" s="22">
        <f t="shared" si="2"/>
        <v>0</v>
      </c>
      <c r="D43" s="76">
        <f t="shared" si="2"/>
        <v>0.15</v>
      </c>
      <c r="E43" s="22">
        <f t="shared" si="2"/>
        <v>0.23750000000000004</v>
      </c>
      <c r="F43" s="22">
        <f t="shared" si="2"/>
        <v>0.28750000000000003</v>
      </c>
      <c r="G43" s="22">
        <f t="shared" si="2"/>
        <v>0.37500000000000006</v>
      </c>
      <c r="H43" s="22">
        <f t="shared" si="2"/>
        <v>0.47500000000000009</v>
      </c>
      <c r="I43" s="22">
        <f t="shared" si="2"/>
        <v>0.57500000000000007</v>
      </c>
      <c r="J43" s="22">
        <f t="shared" si="2"/>
        <v>0.67500000000000004</v>
      </c>
      <c r="K43" s="22">
        <f t="shared" si="2"/>
        <v>0.73749999999999916</v>
      </c>
      <c r="L43" s="22">
        <f t="shared" si="2"/>
        <v>0.8</v>
      </c>
      <c r="M43" s="22">
        <f t="shared" si="2"/>
        <v>0.9</v>
      </c>
      <c r="N43" s="22"/>
      <c r="O43" s="71">
        <f>(1-B43)*E5b!B43</f>
        <v>3</v>
      </c>
      <c r="P43" s="71">
        <f>(1-C43)*E5b!C43</f>
        <v>4</v>
      </c>
      <c r="Q43" s="2">
        <f>(1-D43)*E5b!D43</f>
        <v>4.4625000000000021</v>
      </c>
      <c r="R43" s="2">
        <f>(1-E43)*E5b!E43</f>
        <v>5.528125000000002</v>
      </c>
      <c r="S43" s="2">
        <f>(1-F43)*E5b!F43</f>
        <v>7.4812500000000028</v>
      </c>
      <c r="T43">
        <f>(1-G43)*E5b!G43</f>
        <v>12.5</v>
      </c>
      <c r="U43">
        <f>(1-H43)*E5b!H43</f>
        <v>26.249999999999996</v>
      </c>
      <c r="V43">
        <f>(1-I43)*E5b!I43</f>
        <v>42.499999999999993</v>
      </c>
      <c r="W43">
        <f>(1-J43)*E5b!J43</f>
        <v>64.999999999999986</v>
      </c>
      <c r="X43">
        <f>(1-K43)*E5b!K43</f>
        <v>131.25000000000043</v>
      </c>
      <c r="Y43">
        <f>(1-L43)*E5b!L43</f>
        <v>199.99999999999994</v>
      </c>
      <c r="Z43">
        <f>(1-M43)*E5b!M43</f>
        <v>499.99999999999989</v>
      </c>
      <c r="AA43">
        <v>1</v>
      </c>
      <c r="AB43" s="3">
        <f>(E5b!C43-P43-(E5b!B43-O43))/(E5b!C43-E5b!B43)</f>
        <v>0</v>
      </c>
      <c r="AC43" s="68">
        <f>(E5b!D43-Q43-(E5b!C43-P43))/(E5b!D43-E5b!C43)</f>
        <v>0.62999999999999912</v>
      </c>
      <c r="AD43" s="68">
        <f>(E5b!E43-R43-(E5b!D43-Q43))/(E5b!E43-E5b!D43)</f>
        <v>0.46718750000000009</v>
      </c>
      <c r="AE43" s="3">
        <f>(E5b!F43-S43-(E5b!E43-R43))/(E5b!F43-E5b!E43)</f>
        <v>0.39903846153846173</v>
      </c>
      <c r="AF43" s="3">
        <f>(E5b!G43-T43-(E5b!F43-S43))/(E5b!G43-E5b!F43)</f>
        <v>0.47171052631578947</v>
      </c>
      <c r="AG43" s="3">
        <f>(E5b!H43-U43-(E5b!G43-T43))/(E5b!H43-E5b!G43)</f>
        <v>0.54166666666666674</v>
      </c>
      <c r="AH43" s="3">
        <f>(E5b!I43-V43-(E5b!H43-U43))/(E5b!I43-E5b!H43)</f>
        <v>0.67500000000000004</v>
      </c>
      <c r="AI43" s="3">
        <f>(E5b!J43-W43-(E5b!I43-V43))/(E5b!J43-E5b!I43)</f>
        <v>0.77500000000000002</v>
      </c>
      <c r="AJ43" s="3">
        <f>(E5b!K43-X43-(E5b!J43-W43))/(E5b!K43-E5b!J43)</f>
        <v>0.77916666666666512</v>
      </c>
      <c r="AK43" s="3">
        <f>(E5b!L43-Y43-(E5b!K43-X43))/(E5b!L43-E5b!K43)</f>
        <v>0.86250000000000093</v>
      </c>
      <c r="AL43" s="3">
        <f>(E5b!M43-Z43-(E5b!L43-Y43))/(E5b!M43-E5b!L43)</f>
        <v>0.92500000000000004</v>
      </c>
    </row>
    <row r="44" spans="1:38" ht="15.75" customHeight="1" x14ac:dyDescent="0.25">
      <c r="A44" s="21">
        <v>2066</v>
      </c>
      <c r="B44" s="22">
        <f t="shared" si="2"/>
        <v>0</v>
      </c>
      <c r="C44" s="22">
        <f t="shared" si="2"/>
        <v>0</v>
      </c>
      <c r="D44" s="76">
        <f t="shared" si="2"/>
        <v>0.15</v>
      </c>
      <c r="E44" s="22">
        <f t="shared" si="2"/>
        <v>0.24000000000000005</v>
      </c>
      <c r="F44" s="22">
        <f t="shared" si="2"/>
        <v>0.29000000000000004</v>
      </c>
      <c r="G44" s="22">
        <f t="shared" si="2"/>
        <v>0.38000000000000006</v>
      </c>
      <c r="H44" s="22">
        <f t="shared" si="2"/>
        <v>0.48000000000000009</v>
      </c>
      <c r="I44" s="22">
        <f t="shared" si="2"/>
        <v>0.58000000000000007</v>
      </c>
      <c r="J44" s="22">
        <f t="shared" si="2"/>
        <v>0.68</v>
      </c>
      <c r="K44" s="22">
        <f t="shared" si="2"/>
        <v>0.7399999999999991</v>
      </c>
      <c r="L44" s="22">
        <f t="shared" si="2"/>
        <v>0.8</v>
      </c>
      <c r="M44" s="22">
        <f t="shared" si="2"/>
        <v>0.9</v>
      </c>
      <c r="N44" s="22"/>
      <c r="O44" s="71">
        <f>(1-B44)*E5b!B44</f>
        <v>3</v>
      </c>
      <c r="P44" s="71">
        <f>(1-C44)*E5b!C44</f>
        <v>4</v>
      </c>
      <c r="Q44" s="2">
        <f>(1-D44)*E5b!D44</f>
        <v>4.4200000000000026</v>
      </c>
      <c r="R44" s="2">
        <f>(1-E44)*E5b!E44</f>
        <v>5.4720000000000022</v>
      </c>
      <c r="S44" s="2">
        <f>(1-F44)*E5b!F44</f>
        <v>7.3840000000000039</v>
      </c>
      <c r="T44">
        <f>(1-G44)*E5b!G44</f>
        <v>12.399999999999999</v>
      </c>
      <c r="U44">
        <f>(1-H44)*E5b!H44</f>
        <v>25.999999999999996</v>
      </c>
      <c r="V44">
        <f>(1-I44)*E5b!I44</f>
        <v>41.999999999999993</v>
      </c>
      <c r="W44">
        <f>(1-J44)*E5b!J44</f>
        <v>63.999999999999993</v>
      </c>
      <c r="X44">
        <f>(1-K44)*E5b!K44</f>
        <v>130.00000000000045</v>
      </c>
      <c r="Y44">
        <f>(1-L44)*E5b!L44</f>
        <v>199.99999999999994</v>
      </c>
      <c r="Z44">
        <f>(1-M44)*E5b!M44</f>
        <v>499.99999999999989</v>
      </c>
      <c r="AA44">
        <v>1</v>
      </c>
      <c r="AB44" s="3">
        <f>(E5b!C44-P44-(E5b!B44-O44))/(E5b!C44-E5b!B44)</f>
        <v>0</v>
      </c>
      <c r="AC44" s="68">
        <f>(E5b!D44-Q44-(E5b!C44-P44))/(E5b!D44-E5b!C44)</f>
        <v>0.64999999999999869</v>
      </c>
      <c r="AD44" s="68">
        <f>(E5b!E44-R44-(E5b!D44-Q44))/(E5b!E44-E5b!D44)</f>
        <v>0.4740000000000002</v>
      </c>
      <c r="AE44" s="3">
        <f>(E5b!F44-S44-(E5b!E44-R44))/(E5b!F44-E5b!E44)</f>
        <v>0.40250000000000002</v>
      </c>
      <c r="AF44" s="3">
        <f>(E5b!G44-T44-(E5b!F44-S44))/(E5b!G44-E5b!F44)</f>
        <v>0.47750000000000026</v>
      </c>
      <c r="AG44" s="3">
        <f>(E5b!H44-U44-(E5b!G44-T44))/(E5b!H44-E5b!G44)</f>
        <v>0.54666666666666675</v>
      </c>
      <c r="AH44" s="3">
        <f>(E5b!I44-V44-(E5b!H44-U44))/(E5b!I44-E5b!H44)</f>
        <v>0.68</v>
      </c>
      <c r="AI44" s="3">
        <f>(E5b!J44-W44-(E5b!I44-V44))/(E5b!J44-E5b!I44)</f>
        <v>0.78</v>
      </c>
      <c r="AJ44" s="3">
        <f>(E5b!K44-X44-(E5b!J44-W44))/(E5b!K44-E5b!J44)</f>
        <v>0.77999999999999847</v>
      </c>
      <c r="AK44" s="3">
        <f>(E5b!L44-Y44-(E5b!K44-X44))/(E5b!L44-E5b!K44)</f>
        <v>0.86000000000000087</v>
      </c>
      <c r="AL44" s="3">
        <f>(E5b!M44-Z44-(E5b!L44-Y44))/(E5b!M44-E5b!L44)</f>
        <v>0.92500000000000004</v>
      </c>
    </row>
    <row r="45" spans="1:38" ht="15.75" customHeight="1" x14ac:dyDescent="0.25">
      <c r="A45" s="21">
        <v>2067</v>
      </c>
      <c r="B45" s="22">
        <f t="shared" ref="B45:M47" si="3">B44+(B$48-B$28)/20</f>
        <v>0</v>
      </c>
      <c r="C45" s="22">
        <f t="shared" si="3"/>
        <v>0</v>
      </c>
      <c r="D45" s="76">
        <f t="shared" si="3"/>
        <v>0.15</v>
      </c>
      <c r="E45" s="22">
        <f t="shared" si="3"/>
        <v>0.24250000000000005</v>
      </c>
      <c r="F45" s="22">
        <f t="shared" si="3"/>
        <v>0.29250000000000004</v>
      </c>
      <c r="G45" s="22">
        <f t="shared" si="3"/>
        <v>0.38500000000000006</v>
      </c>
      <c r="H45" s="22">
        <f t="shared" si="3"/>
        <v>0.4850000000000001</v>
      </c>
      <c r="I45" s="22">
        <f t="shared" si="3"/>
        <v>0.58500000000000008</v>
      </c>
      <c r="J45" s="22">
        <f t="shared" si="3"/>
        <v>0.68500000000000005</v>
      </c>
      <c r="K45" s="22">
        <f t="shared" si="3"/>
        <v>0.74249999999999905</v>
      </c>
      <c r="L45" s="22">
        <f t="shared" si="3"/>
        <v>0.8</v>
      </c>
      <c r="M45" s="22">
        <f t="shared" si="3"/>
        <v>0.9</v>
      </c>
      <c r="N45" s="22"/>
      <c r="O45" s="71">
        <f>(1-B45)*E5b!B45</f>
        <v>3</v>
      </c>
      <c r="P45" s="71">
        <f>(1-C45)*E5b!C45</f>
        <v>4</v>
      </c>
      <c r="Q45" s="2">
        <f>(1-D45)*E5b!D45</f>
        <v>4.3775000000000022</v>
      </c>
      <c r="R45" s="2">
        <f>(1-E45)*E5b!E45</f>
        <v>5.4161250000000019</v>
      </c>
      <c r="S45" s="2">
        <f>(1-F45)*E5b!F45</f>
        <v>7.2872500000000047</v>
      </c>
      <c r="T45">
        <f>(1-G45)*E5b!G45</f>
        <v>12.3</v>
      </c>
      <c r="U45">
        <f>(1-H45)*E5b!H45</f>
        <v>25.749999999999996</v>
      </c>
      <c r="V45">
        <f>(1-I45)*E5b!I45</f>
        <v>41.499999999999993</v>
      </c>
      <c r="W45">
        <f>(1-J45)*E5b!J45</f>
        <v>62.999999999999986</v>
      </c>
      <c r="X45">
        <f>(1-K45)*E5b!K45</f>
        <v>128.75000000000048</v>
      </c>
      <c r="Y45">
        <f>(1-L45)*E5b!L45</f>
        <v>199.99999999999994</v>
      </c>
      <c r="Z45">
        <f>(1-M45)*E5b!M45</f>
        <v>499.99999999999989</v>
      </c>
      <c r="AA45">
        <v>1</v>
      </c>
      <c r="AB45" s="3">
        <f>(E5b!C45-P45-(E5b!B45-O45))/(E5b!C45-E5b!B45)</f>
        <v>0</v>
      </c>
      <c r="AC45" s="68">
        <f>(E5b!D45-Q45-(E5b!C45-P45))/(E5b!D45-E5b!C45)</f>
        <v>0.67173913043478162</v>
      </c>
      <c r="AD45" s="68">
        <f>(E5b!E45-R45-(E5b!D45-Q45))/(E5b!E45-E5b!D45)</f>
        <v>0.48068750000000016</v>
      </c>
      <c r="AE45" s="3">
        <f>(E5b!F45-S45-(E5b!E45-R45))/(E5b!F45-E5b!E45)</f>
        <v>0.40599206349206318</v>
      </c>
      <c r="AF45" s="3">
        <f>(E5b!G45-T45-(E5b!F45-S45))/(E5b!G45-E5b!F45)</f>
        <v>0.48322164948453616</v>
      </c>
      <c r="AG45" s="3">
        <f>(E5b!H45-U45-(E5b!G45-T45))/(E5b!H45-E5b!G45)</f>
        <v>0.55166666666666686</v>
      </c>
      <c r="AH45" s="3">
        <f>(E5b!I45-V45-(E5b!H45-U45))/(E5b!I45-E5b!H45)</f>
        <v>0.68500000000000005</v>
      </c>
      <c r="AI45" s="3">
        <f>(E5b!J45-W45-(E5b!I45-V45))/(E5b!J45-E5b!I45)</f>
        <v>0.78500000000000003</v>
      </c>
      <c r="AJ45" s="3">
        <f>(E5b!K45-X45-(E5b!J45-W45))/(E5b!K45-E5b!J45)</f>
        <v>0.78083333333333182</v>
      </c>
      <c r="AK45" s="3">
        <f>(E5b!L45-Y45-(E5b!K45-X45))/(E5b!L45-E5b!K45)</f>
        <v>0.85750000000000093</v>
      </c>
      <c r="AL45" s="3">
        <f>(E5b!M45-Z45-(E5b!L45-Y45))/(E5b!M45-E5b!L45)</f>
        <v>0.92500000000000004</v>
      </c>
    </row>
    <row r="46" spans="1:38" ht="15.75" customHeight="1" x14ac:dyDescent="0.25">
      <c r="A46" s="21">
        <v>2068</v>
      </c>
      <c r="B46" s="22">
        <f t="shared" si="3"/>
        <v>0</v>
      </c>
      <c r="C46" s="22">
        <f t="shared" si="3"/>
        <v>0</v>
      </c>
      <c r="D46" s="76">
        <f t="shared" si="3"/>
        <v>0.15</v>
      </c>
      <c r="E46" s="22">
        <f t="shared" si="3"/>
        <v>0.24500000000000005</v>
      </c>
      <c r="F46" s="22">
        <f t="shared" si="3"/>
        <v>0.29500000000000004</v>
      </c>
      <c r="G46" s="22">
        <f t="shared" si="3"/>
        <v>0.39000000000000007</v>
      </c>
      <c r="H46" s="22">
        <f t="shared" si="3"/>
        <v>0.4900000000000001</v>
      </c>
      <c r="I46" s="22">
        <f t="shared" si="3"/>
        <v>0.59000000000000008</v>
      </c>
      <c r="J46" s="22">
        <f t="shared" si="3"/>
        <v>0.69000000000000006</v>
      </c>
      <c r="K46" s="22">
        <f t="shared" si="3"/>
        <v>0.744999999999999</v>
      </c>
      <c r="L46" s="22">
        <f t="shared" si="3"/>
        <v>0.8</v>
      </c>
      <c r="M46" s="22">
        <f t="shared" si="3"/>
        <v>0.9</v>
      </c>
      <c r="N46" s="22"/>
      <c r="O46" s="71">
        <f>(1-B46)*E5b!B46</f>
        <v>3</v>
      </c>
      <c r="P46" s="71">
        <f>(1-C46)*E5b!C46</f>
        <v>4</v>
      </c>
      <c r="Q46" s="2">
        <f>(1-D46)*E5b!D46</f>
        <v>4.3350000000000026</v>
      </c>
      <c r="R46" s="2">
        <f>(1-E46)*E5b!E46</f>
        <v>5.3605000000000018</v>
      </c>
      <c r="S46" s="2">
        <f>(1-F46)*E5b!F46</f>
        <v>7.1910000000000043</v>
      </c>
      <c r="T46">
        <f>(1-G46)*E5b!G46</f>
        <v>12.199999999999998</v>
      </c>
      <c r="U46">
        <f>(1-H46)*E5b!H46</f>
        <v>25.499999999999996</v>
      </c>
      <c r="V46">
        <f>(1-I46)*E5b!I46</f>
        <v>40.999999999999993</v>
      </c>
      <c r="W46">
        <f>(1-J46)*E5b!J46</f>
        <v>61.999999999999986</v>
      </c>
      <c r="X46">
        <f>(1-K46)*E5b!K46</f>
        <v>127.5000000000005</v>
      </c>
      <c r="Y46">
        <f>(1-L46)*E5b!L46</f>
        <v>199.99999999999994</v>
      </c>
      <c r="Z46">
        <f>(1-M46)*E5b!M46</f>
        <v>499.99999999999989</v>
      </c>
      <c r="AA46">
        <v>1</v>
      </c>
      <c r="AB46" s="3">
        <f>(E5b!C46-P46-(E5b!B46-O46))/(E5b!C46-E5b!B46)</f>
        <v>0</v>
      </c>
      <c r="AC46" s="68">
        <f>(E5b!D46-Q46-(E5b!C46-P46))/(E5b!D46-E5b!C46)</f>
        <v>0.69545454545454399</v>
      </c>
      <c r="AD46" s="68">
        <f>(E5b!E46-R46-(E5b!D46-Q46))/(E5b!E46-E5b!D46)</f>
        <v>0.48725000000000041</v>
      </c>
      <c r="AE46" s="3">
        <f>(E5b!F46-S46-(E5b!E46-R46))/(E5b!F46-E5b!E46)</f>
        <v>0.40951612903225787</v>
      </c>
      <c r="AF46" s="3">
        <f>(E5b!G46-T46-(E5b!F46-S46))/(E5b!G46-E5b!F46)</f>
        <v>0.48887755102040853</v>
      </c>
      <c r="AG46" s="3">
        <f>(E5b!H46-U46-(E5b!G46-T46))/(E5b!H46-E5b!G46)</f>
        <v>0.55666666666666675</v>
      </c>
      <c r="AH46" s="3">
        <f>(E5b!I46-V46-(E5b!H46-U46))/(E5b!I46-E5b!H46)</f>
        <v>0.69</v>
      </c>
      <c r="AI46" s="3">
        <f>(E5b!J46-W46-(E5b!I46-V46))/(E5b!J46-E5b!I46)</f>
        <v>0.79</v>
      </c>
      <c r="AJ46" s="3">
        <f>(E5b!K46-X46-(E5b!J46-W46))/(E5b!K46-E5b!J46)</f>
        <v>0.78166666666666496</v>
      </c>
      <c r="AK46" s="3">
        <f>(E5b!L46-Y46-(E5b!K46-X46))/(E5b!L46-E5b!K46)</f>
        <v>0.85500000000000098</v>
      </c>
      <c r="AL46" s="3">
        <f>(E5b!M46-Z46-(E5b!L46-Y46))/(E5b!M46-E5b!L46)</f>
        <v>0.92500000000000004</v>
      </c>
    </row>
    <row r="47" spans="1:38" ht="15.75" customHeight="1" x14ac:dyDescent="0.25">
      <c r="A47" s="21">
        <v>2069</v>
      </c>
      <c r="B47" s="22">
        <f t="shared" si="3"/>
        <v>0</v>
      </c>
      <c r="C47" s="22">
        <f t="shared" si="3"/>
        <v>0</v>
      </c>
      <c r="D47" s="76">
        <f t="shared" si="3"/>
        <v>0.15</v>
      </c>
      <c r="E47" s="22">
        <f t="shared" si="3"/>
        <v>0.24750000000000005</v>
      </c>
      <c r="F47" s="22">
        <f t="shared" si="3"/>
        <v>0.29750000000000004</v>
      </c>
      <c r="G47" s="22">
        <f t="shared" si="3"/>
        <v>0.39500000000000007</v>
      </c>
      <c r="H47" s="22">
        <f t="shared" si="3"/>
        <v>0.49500000000000011</v>
      </c>
      <c r="I47" s="22">
        <f t="shared" si="3"/>
        <v>0.59500000000000008</v>
      </c>
      <c r="J47" s="22">
        <f t="shared" si="3"/>
        <v>0.69500000000000006</v>
      </c>
      <c r="K47" s="22">
        <f t="shared" si="3"/>
        <v>0.74749999999999894</v>
      </c>
      <c r="L47" s="22">
        <f t="shared" si="3"/>
        <v>0.8</v>
      </c>
      <c r="M47" s="22">
        <f t="shared" si="3"/>
        <v>0.9</v>
      </c>
      <c r="N47" s="22"/>
      <c r="O47" s="71">
        <f>(1-B47)*E5b!B47</f>
        <v>3</v>
      </c>
      <c r="P47" s="71">
        <f>(1-C47)*E5b!C47</f>
        <v>4</v>
      </c>
      <c r="Q47" s="2">
        <f>(1-D47)*E5b!D47</f>
        <v>4.2925000000000031</v>
      </c>
      <c r="R47" s="2">
        <f>(1-E47)*E5b!E47</f>
        <v>5.3051250000000021</v>
      </c>
      <c r="S47" s="2">
        <f>(1-F47)*E5b!F47</f>
        <v>7.0952500000000036</v>
      </c>
      <c r="T47">
        <f>(1-G47)*E5b!G47</f>
        <v>12.1</v>
      </c>
      <c r="U47">
        <f>(1-H47)*E5b!H47</f>
        <v>25.249999999999993</v>
      </c>
      <c r="V47">
        <f>(1-I47)*E5b!I47</f>
        <v>40.499999999999993</v>
      </c>
      <c r="W47">
        <f>(1-J47)*E5b!J47</f>
        <v>60.999999999999986</v>
      </c>
      <c r="X47">
        <f>(1-K47)*E5b!K47</f>
        <v>126.25000000000053</v>
      </c>
      <c r="Y47">
        <f>(1-L47)*E5b!L47</f>
        <v>199.99999999999994</v>
      </c>
      <c r="Z47">
        <f>(1-M47)*E5b!M47</f>
        <v>499.99999999999989</v>
      </c>
      <c r="AA47">
        <v>1</v>
      </c>
      <c r="AB47" s="3">
        <f>(E5b!C47-P47-(E5b!B47-O47))/(E5b!C47-E5b!B47)</f>
        <v>0</v>
      </c>
      <c r="AC47" s="68">
        <f>(E5b!D47-Q47-(E5b!C47-P47))/(E5b!D47-E5b!C47)</f>
        <v>0.72142857142856942</v>
      </c>
      <c r="AD47" s="68">
        <f>(E5b!E47-R47-(E5b!D47-Q47))/(E5b!E47-E5b!D47)</f>
        <v>0.4936875000000005</v>
      </c>
      <c r="AE47" s="3">
        <f>(E5b!F47-S47-(E5b!E47-R47))/(E5b!F47-E5b!E47)</f>
        <v>0.41307377049180344</v>
      </c>
      <c r="AF47" s="3">
        <f>(E5b!G47-T47-(E5b!F47-S47))/(E5b!G47-E5b!F47)</f>
        <v>0.494469696969697</v>
      </c>
      <c r="AG47" s="3">
        <f>(E5b!H47-U47-(E5b!G47-T47))/(E5b!H47-E5b!G47)</f>
        <v>0.56166666666666698</v>
      </c>
      <c r="AH47" s="3">
        <f>(E5b!I47-V47-(E5b!H47-U47))/(E5b!I47-E5b!H47)</f>
        <v>0.69499999999999995</v>
      </c>
      <c r="AI47" s="3">
        <f>(E5b!J47-W47-(E5b!I47-V47))/(E5b!J47-E5b!I47)</f>
        <v>0.79500000000000004</v>
      </c>
      <c r="AJ47" s="3">
        <f>(E5b!K47-X47-(E5b!J47-W47))/(E5b!K47-E5b!J47)</f>
        <v>0.78249999999999831</v>
      </c>
      <c r="AK47" s="3">
        <f>(E5b!L47-Y47-(E5b!K47-X47))/(E5b!L47-E5b!K47)</f>
        <v>0.85250000000000103</v>
      </c>
      <c r="AL47" s="3">
        <f>(E5b!M47-Z47-(E5b!L47-Y47))/(E5b!M47-E5b!L47)</f>
        <v>0.92500000000000004</v>
      </c>
    </row>
    <row r="48" spans="1:38" ht="15.75" customHeight="1" x14ac:dyDescent="0.25">
      <c r="A48" s="21">
        <v>2070</v>
      </c>
      <c r="B48" s="30">
        <v>0</v>
      </c>
      <c r="C48" s="30">
        <v>0</v>
      </c>
      <c r="D48" s="77">
        <v>0.15</v>
      </c>
      <c r="E48" s="30">
        <v>0.25</v>
      </c>
      <c r="F48" s="30">
        <v>0.3</v>
      </c>
      <c r="G48" s="30">
        <v>0.4</v>
      </c>
      <c r="H48" s="30">
        <v>0.5</v>
      </c>
      <c r="I48" s="30">
        <v>0.6</v>
      </c>
      <c r="J48" s="30">
        <v>0.7</v>
      </c>
      <c r="K48" s="30">
        <v>0.75</v>
      </c>
      <c r="L48" s="30">
        <v>0.8</v>
      </c>
      <c r="M48" s="30">
        <v>0.9</v>
      </c>
      <c r="N48" s="30"/>
      <c r="O48" s="71">
        <f>(1-B48)*E5b!B48</f>
        <v>3</v>
      </c>
      <c r="P48" s="71">
        <f>(1-C48)*E5b!C48</f>
        <v>4</v>
      </c>
      <c r="Q48" s="2">
        <f>(1-D48)*E5b!D48</f>
        <v>4.25</v>
      </c>
      <c r="R48" s="2">
        <f>(1-E48)*E5b!E48</f>
        <v>5.25</v>
      </c>
      <c r="S48" s="2">
        <f>(1-F48)*E5b!F48</f>
        <v>7</v>
      </c>
      <c r="T48">
        <f>(1-G48)*E5b!G48</f>
        <v>12</v>
      </c>
      <c r="U48">
        <f>(1-H48)*E5b!H48</f>
        <v>25</v>
      </c>
      <c r="V48">
        <f>(1-I48)*E5b!I48</f>
        <v>40</v>
      </c>
      <c r="W48">
        <f>(1-J48)*E5b!J48</f>
        <v>60.000000000000007</v>
      </c>
      <c r="X48">
        <f>(1-K48)*E5b!K48</f>
        <v>125</v>
      </c>
      <c r="Y48">
        <f>(1-L48)*E5b!L48</f>
        <v>199.99999999999994</v>
      </c>
      <c r="Z48">
        <f>(1-M48)*E5b!M48</f>
        <v>499.99999999999989</v>
      </c>
      <c r="AA48">
        <v>1</v>
      </c>
      <c r="AB48" s="3">
        <f>(E5b!C48-P48-(E5b!B48-O48))/(E5b!C48-E5b!B48)</f>
        <v>0</v>
      </c>
      <c r="AC48" s="69">
        <f>(E5b!D48-Q48-(E5b!C48-P48))/(E5b!D48-E5b!C48)</f>
        <v>0.75</v>
      </c>
      <c r="AD48" s="68">
        <f>(E5b!E48-R48-(E5b!D48-Q48))/(E5b!E48-E5b!D48)</f>
        <v>0.5</v>
      </c>
      <c r="AE48" s="3">
        <f>(E5b!F48-S48-(E5b!E48-R48))/(E5b!F48-E5b!E48)</f>
        <v>0.41666666666666669</v>
      </c>
      <c r="AF48" s="3">
        <f>(E5b!G48-T48-(E5b!F48-S48))/(E5b!G48-E5b!F48)</f>
        <v>0.5</v>
      </c>
      <c r="AG48" s="3">
        <f>(E5b!H48-U48-(E5b!G48-T48))/(E5b!H48-E5b!G48)</f>
        <v>0.56666666666666665</v>
      </c>
      <c r="AH48" s="3">
        <f>(E5b!I48-V48-(E5b!H48-U48))/(E5b!I48-E5b!H48)</f>
        <v>0.7</v>
      </c>
      <c r="AI48" s="3">
        <f>(E5b!J48-W48-(E5b!I48-V48))/(E5b!J48-E5b!I48)</f>
        <v>0.8</v>
      </c>
      <c r="AJ48" s="3">
        <f>(E5b!K48-X48-(E5b!J48-W48))/(E5b!K48-E5b!J48)</f>
        <v>0.78333333333333333</v>
      </c>
      <c r="AK48" s="3">
        <f>(E5b!L48-Y48-(E5b!K48-X48))/(E5b!L48-E5b!K48)</f>
        <v>0.85</v>
      </c>
      <c r="AL48" s="3">
        <f>(E5b!M48-Z48-(E5b!L48-Y48))/(E5b!M48-E5b!L48)</f>
        <v>0.92500000000000004</v>
      </c>
    </row>
    <row r="49" spans="1:38" ht="15.75" customHeight="1" x14ac:dyDescent="0.25">
      <c r="A49" s="21">
        <v>2071</v>
      </c>
      <c r="B49" s="22">
        <f t="shared" ref="B49:M57" si="4">B48+(B$58-B$48)/10</f>
        <v>0</v>
      </c>
      <c r="C49" s="22">
        <f t="shared" si="4"/>
        <v>0</v>
      </c>
      <c r="D49" s="76">
        <f t="shared" si="4"/>
        <v>0.15</v>
      </c>
      <c r="E49" s="22">
        <f t="shared" si="4"/>
        <v>0.255</v>
      </c>
      <c r="F49" s="22">
        <f t="shared" si="4"/>
        <v>0.31</v>
      </c>
      <c r="G49" s="22">
        <f t="shared" si="4"/>
        <v>0.41000000000000003</v>
      </c>
      <c r="H49" s="22">
        <f t="shared" si="4"/>
        <v>0.51</v>
      </c>
      <c r="I49" s="22">
        <f t="shared" si="4"/>
        <v>0.61</v>
      </c>
      <c r="J49" s="22">
        <f t="shared" si="4"/>
        <v>0.70499999999999996</v>
      </c>
      <c r="K49" s="22">
        <f t="shared" si="4"/>
        <v>0.755</v>
      </c>
      <c r="L49" s="22">
        <f t="shared" si="4"/>
        <v>0.80500000000000005</v>
      </c>
      <c r="M49" s="22">
        <f t="shared" si="4"/>
        <v>0.9</v>
      </c>
      <c r="N49" s="22"/>
      <c r="O49" s="71">
        <f>(1-B49)*E5b!B49</f>
        <v>3</v>
      </c>
      <c r="P49" s="71">
        <f>(1-C49)*E5b!C49</f>
        <v>4</v>
      </c>
      <c r="Q49" s="2">
        <f>(1-D49)*E5b!D49</f>
        <v>4.25</v>
      </c>
      <c r="R49" s="2">
        <f>(1-E49)*E5b!E49</f>
        <v>5.2149999999999999</v>
      </c>
      <c r="S49" s="2">
        <f>(1-F49)*E5b!F49</f>
        <v>6.8999999999999995</v>
      </c>
      <c r="T49">
        <f>(1-G49)*E5b!G49</f>
        <v>11.799999999999999</v>
      </c>
      <c r="U49">
        <f>(1-H49)*E5b!H49</f>
        <v>24.5</v>
      </c>
      <c r="V49">
        <f>(1-I49)*E5b!I49</f>
        <v>39</v>
      </c>
      <c r="W49">
        <f>(1-J49)*E5b!J49</f>
        <v>59.000000000000007</v>
      </c>
      <c r="X49">
        <f>(1-K49)*E5b!K49</f>
        <v>122.5</v>
      </c>
      <c r="Y49">
        <f>(1-L49)*E5b!L49</f>
        <v>194.99999999999994</v>
      </c>
      <c r="Z49">
        <f>(1-M49)*E5b!M49</f>
        <v>499.99999999999989</v>
      </c>
      <c r="AA49">
        <v>1</v>
      </c>
      <c r="AB49" s="3">
        <f>(E5b!C49-P49-(E5b!B49-O49))/(E5b!C49-E5b!B49)</f>
        <v>0</v>
      </c>
      <c r="AC49" s="69">
        <f>(E5b!D49-Q49-(E5b!C49-P49))/(E5b!D49-E5b!C49)</f>
        <v>0.75</v>
      </c>
      <c r="AD49" s="68">
        <f>(E5b!E49-R49-(E5b!D49-Q49))/(E5b!E49-E5b!D49)</f>
        <v>0.51750000000000007</v>
      </c>
      <c r="AE49" s="3">
        <f>(E5b!F49-S49-(E5b!E49-R49))/(E5b!F49-E5b!E49)</f>
        <v>0.43833333333333346</v>
      </c>
      <c r="AF49" s="3">
        <f>(E5b!G49-T49-(E5b!F49-S49))/(E5b!G49-E5b!F49)</f>
        <v>0.51</v>
      </c>
      <c r="AG49" s="3">
        <f>(E5b!H49-U49-(E5b!G49-T49))/(E5b!H49-E5b!G49)</f>
        <v>0.57666666666666655</v>
      </c>
      <c r="AH49" s="3">
        <f>(E5b!I49-V49-(E5b!H49-U49))/(E5b!I49-E5b!H49)</f>
        <v>0.71</v>
      </c>
      <c r="AI49" s="3">
        <f>(E5b!J49-W49-(E5b!I49-V49))/(E5b!J49-E5b!I49)</f>
        <v>0.8</v>
      </c>
      <c r="AJ49" s="3">
        <f>(E5b!K49-X49-(E5b!J49-W49))/(E5b!K49-E5b!J49)</f>
        <v>0.78833333333333333</v>
      </c>
      <c r="AK49" s="3">
        <f>(E5b!L49-Y49-(E5b!K49-X49))/(E5b!L49-E5b!K49)</f>
        <v>0.85499999999999998</v>
      </c>
      <c r="AL49" s="3">
        <f>(E5b!M49-Z49-(E5b!L49-Y49))/(E5b!M49-E5b!L49)</f>
        <v>0.92374999999999996</v>
      </c>
    </row>
    <row r="50" spans="1:38" ht="15.75" customHeight="1" x14ac:dyDescent="0.25">
      <c r="A50" s="21">
        <v>2072</v>
      </c>
      <c r="B50" s="22">
        <f t="shared" si="4"/>
        <v>0</v>
      </c>
      <c r="C50" s="22">
        <f t="shared" si="4"/>
        <v>0</v>
      </c>
      <c r="D50" s="76">
        <f t="shared" si="4"/>
        <v>0.15</v>
      </c>
      <c r="E50" s="22">
        <f t="shared" si="4"/>
        <v>0.26</v>
      </c>
      <c r="F50" s="22">
        <f t="shared" si="4"/>
        <v>0.32</v>
      </c>
      <c r="G50" s="22">
        <f t="shared" si="4"/>
        <v>0.42000000000000004</v>
      </c>
      <c r="H50" s="22">
        <f t="shared" si="4"/>
        <v>0.52</v>
      </c>
      <c r="I50" s="22">
        <f t="shared" si="4"/>
        <v>0.62</v>
      </c>
      <c r="J50" s="22">
        <f t="shared" si="4"/>
        <v>0.71</v>
      </c>
      <c r="K50" s="22">
        <f t="shared" si="4"/>
        <v>0.76</v>
      </c>
      <c r="L50" s="22">
        <f t="shared" si="4"/>
        <v>0.81</v>
      </c>
      <c r="M50" s="22">
        <f t="shared" si="4"/>
        <v>0.9</v>
      </c>
      <c r="N50" s="22"/>
      <c r="O50" s="71">
        <f>(1-B50)*E5b!B50</f>
        <v>3</v>
      </c>
      <c r="P50" s="71">
        <f>(1-C50)*E5b!C50</f>
        <v>4</v>
      </c>
      <c r="Q50" s="2">
        <f>(1-D50)*E5b!D50</f>
        <v>4.25</v>
      </c>
      <c r="R50" s="2">
        <f>(1-E50)*E5b!E50</f>
        <v>5.18</v>
      </c>
      <c r="S50" s="2">
        <f>(1-F50)*E5b!F50</f>
        <v>6.7999999999999989</v>
      </c>
      <c r="T50">
        <f>(1-G50)*E5b!G50</f>
        <v>11.6</v>
      </c>
      <c r="U50">
        <f>(1-H50)*E5b!H50</f>
        <v>24</v>
      </c>
      <c r="V50">
        <f>(1-I50)*E5b!I50</f>
        <v>38</v>
      </c>
      <c r="W50">
        <f>(1-J50)*E5b!J50</f>
        <v>58.000000000000007</v>
      </c>
      <c r="X50">
        <f>(1-K50)*E5b!K50</f>
        <v>120</v>
      </c>
      <c r="Y50">
        <f>(1-L50)*E5b!L50</f>
        <v>189.99999999999994</v>
      </c>
      <c r="Z50">
        <f>(1-M50)*E5b!M50</f>
        <v>499.99999999999989</v>
      </c>
      <c r="AA50">
        <v>1</v>
      </c>
      <c r="AB50" s="3">
        <f>(E5b!C50-P50-(E5b!B50-O50))/(E5b!C50-E5b!B50)</f>
        <v>0</v>
      </c>
      <c r="AC50" s="69">
        <f>(E5b!D50-Q50-(E5b!C50-P50))/(E5b!D50-E5b!C50)</f>
        <v>0.75</v>
      </c>
      <c r="AD50" s="68">
        <f>(E5b!E50-R50-(E5b!D50-Q50))/(E5b!E50-E5b!D50)</f>
        <v>0.53500000000000014</v>
      </c>
      <c r="AE50" s="3">
        <f>(E5b!F50-S50-(E5b!E50-R50))/(E5b!F50-E5b!E50)</f>
        <v>0.46000000000000024</v>
      </c>
      <c r="AF50" s="3">
        <f>(E5b!G50-T50-(E5b!F50-S50))/(E5b!G50-E5b!F50)</f>
        <v>0.51999999999999991</v>
      </c>
      <c r="AG50" s="3">
        <f>(E5b!H50-U50-(E5b!G50-T50))/(E5b!H50-E5b!G50)</f>
        <v>0.58666666666666667</v>
      </c>
      <c r="AH50" s="3">
        <f>(E5b!I50-V50-(E5b!H50-U50))/(E5b!I50-E5b!H50)</f>
        <v>0.72</v>
      </c>
      <c r="AI50" s="3">
        <f>(E5b!J50-W50-(E5b!I50-V50))/(E5b!J50-E5b!I50)</f>
        <v>0.8</v>
      </c>
      <c r="AJ50" s="3">
        <f>(E5b!K50-X50-(E5b!J50-W50))/(E5b!K50-E5b!J50)</f>
        <v>0.79333333333333333</v>
      </c>
      <c r="AK50" s="3">
        <f>(E5b!L50-Y50-(E5b!K50-X50))/(E5b!L50-E5b!K50)</f>
        <v>0.86</v>
      </c>
      <c r="AL50" s="3">
        <f>(E5b!M50-Z50-(E5b!L50-Y50))/(E5b!M50-E5b!L50)</f>
        <v>0.92249999999999999</v>
      </c>
    </row>
    <row r="51" spans="1:38" ht="15.75" customHeight="1" x14ac:dyDescent="0.25">
      <c r="A51" s="21">
        <v>2073</v>
      </c>
      <c r="B51" s="22">
        <f t="shared" si="4"/>
        <v>0</v>
      </c>
      <c r="C51" s="22">
        <f t="shared" si="4"/>
        <v>0</v>
      </c>
      <c r="D51" s="76">
        <f t="shared" si="4"/>
        <v>0.15</v>
      </c>
      <c r="E51" s="22">
        <f t="shared" si="4"/>
        <v>0.26500000000000001</v>
      </c>
      <c r="F51" s="22">
        <f t="shared" si="4"/>
        <v>0.33</v>
      </c>
      <c r="G51" s="22">
        <f t="shared" si="4"/>
        <v>0.43000000000000005</v>
      </c>
      <c r="H51" s="22">
        <f t="shared" si="4"/>
        <v>0.53</v>
      </c>
      <c r="I51" s="22">
        <f t="shared" si="4"/>
        <v>0.63</v>
      </c>
      <c r="J51" s="22">
        <f t="shared" si="4"/>
        <v>0.71499999999999997</v>
      </c>
      <c r="K51" s="22">
        <f t="shared" si="4"/>
        <v>0.76500000000000001</v>
      </c>
      <c r="L51" s="22">
        <f t="shared" si="4"/>
        <v>0.81500000000000006</v>
      </c>
      <c r="M51" s="22">
        <f t="shared" si="4"/>
        <v>0.9</v>
      </c>
      <c r="N51" s="22"/>
      <c r="O51" s="71">
        <f>(1-B51)*E5b!B51</f>
        <v>3</v>
      </c>
      <c r="P51" s="71">
        <f>(1-C51)*E5b!C51</f>
        <v>4</v>
      </c>
      <c r="Q51" s="2">
        <f>(1-D51)*E5b!D51</f>
        <v>4.25</v>
      </c>
      <c r="R51" s="2">
        <f>(1-E51)*E5b!E51</f>
        <v>5.1449999999999996</v>
      </c>
      <c r="S51" s="2">
        <f>(1-F51)*E5b!F51</f>
        <v>6.6999999999999993</v>
      </c>
      <c r="T51">
        <f>(1-G51)*E5b!G51</f>
        <v>11.399999999999999</v>
      </c>
      <c r="U51">
        <f>(1-H51)*E5b!H51</f>
        <v>23.5</v>
      </c>
      <c r="V51">
        <f>(1-I51)*E5b!I51</f>
        <v>37</v>
      </c>
      <c r="W51">
        <f>(1-J51)*E5b!J51</f>
        <v>57.000000000000007</v>
      </c>
      <c r="X51">
        <f>(1-K51)*E5b!K51</f>
        <v>117.5</v>
      </c>
      <c r="Y51">
        <f>(1-L51)*E5b!L51</f>
        <v>184.99999999999994</v>
      </c>
      <c r="Z51">
        <f>(1-M51)*E5b!M51</f>
        <v>499.99999999999989</v>
      </c>
      <c r="AA51">
        <v>1</v>
      </c>
      <c r="AB51" s="3">
        <f>(E5b!C51-P51-(E5b!B51-O51))/(E5b!C51-E5b!B51)</f>
        <v>0</v>
      </c>
      <c r="AC51" s="69">
        <f>(E5b!D51-Q51-(E5b!C51-P51))/(E5b!D51-E5b!C51)</f>
        <v>0.75</v>
      </c>
      <c r="AD51" s="68">
        <f>(E5b!E51-R51-(E5b!D51-Q51))/(E5b!E51-E5b!D51)</f>
        <v>0.55250000000000021</v>
      </c>
      <c r="AE51" s="3">
        <f>(E5b!F51-S51-(E5b!E51-R51))/(E5b!F51-E5b!E51)</f>
        <v>0.48166666666666674</v>
      </c>
      <c r="AF51" s="3">
        <f>(E5b!G51-T51-(E5b!F51-S51))/(E5b!G51-E5b!F51)</f>
        <v>0.53</v>
      </c>
      <c r="AG51" s="3">
        <f>(E5b!H51-U51-(E5b!G51-T51))/(E5b!H51-E5b!G51)</f>
        <v>0.59666666666666657</v>
      </c>
      <c r="AH51" s="3">
        <f>(E5b!I51-V51-(E5b!H51-U51))/(E5b!I51-E5b!H51)</f>
        <v>0.73</v>
      </c>
      <c r="AI51" s="3">
        <f>(E5b!J51-W51-(E5b!I51-V51))/(E5b!J51-E5b!I51)</f>
        <v>0.8</v>
      </c>
      <c r="AJ51" s="3">
        <f>(E5b!K51-X51-(E5b!J51-W51))/(E5b!K51-E5b!J51)</f>
        <v>0.79833333333333334</v>
      </c>
      <c r="AK51" s="3">
        <f>(E5b!L51-Y51-(E5b!K51-X51))/(E5b!L51-E5b!K51)</f>
        <v>0.86499999999999999</v>
      </c>
      <c r="AL51" s="3">
        <f>(E5b!M51-Z51-(E5b!L51-Y51))/(E5b!M51-E5b!L51)</f>
        <v>0.92125000000000001</v>
      </c>
    </row>
    <row r="52" spans="1:38" ht="15.75" customHeight="1" x14ac:dyDescent="0.25">
      <c r="A52" s="21">
        <v>2074</v>
      </c>
      <c r="B52" s="22">
        <f t="shared" si="4"/>
        <v>0</v>
      </c>
      <c r="C52" s="22">
        <f t="shared" si="4"/>
        <v>0</v>
      </c>
      <c r="D52" s="76">
        <f t="shared" si="4"/>
        <v>0.15</v>
      </c>
      <c r="E52" s="22">
        <f t="shared" si="4"/>
        <v>0.27</v>
      </c>
      <c r="F52" s="22">
        <f t="shared" si="4"/>
        <v>0.34</v>
      </c>
      <c r="G52" s="22">
        <f t="shared" si="4"/>
        <v>0.44000000000000006</v>
      </c>
      <c r="H52" s="22">
        <f t="shared" si="4"/>
        <v>0.54</v>
      </c>
      <c r="I52" s="22">
        <f t="shared" si="4"/>
        <v>0.64</v>
      </c>
      <c r="J52" s="22">
        <f t="shared" si="4"/>
        <v>0.72</v>
      </c>
      <c r="K52" s="22">
        <f t="shared" si="4"/>
        <v>0.77</v>
      </c>
      <c r="L52" s="22">
        <f t="shared" si="4"/>
        <v>0.82000000000000006</v>
      </c>
      <c r="M52" s="22">
        <f t="shared" si="4"/>
        <v>0.9</v>
      </c>
      <c r="N52" s="22"/>
      <c r="O52" s="71">
        <f>(1-B52)*E5b!B52</f>
        <v>3</v>
      </c>
      <c r="P52" s="71">
        <f>(1-C52)*E5b!C52</f>
        <v>4</v>
      </c>
      <c r="Q52" s="2">
        <f>(1-D52)*E5b!D52</f>
        <v>4.25</v>
      </c>
      <c r="R52" s="2">
        <f>(1-E52)*E5b!E52</f>
        <v>5.1099999999999994</v>
      </c>
      <c r="S52" s="2">
        <f>(1-F52)*E5b!F52</f>
        <v>6.6</v>
      </c>
      <c r="T52">
        <f>(1-G52)*E5b!G52</f>
        <v>11.2</v>
      </c>
      <c r="U52">
        <f>(1-H52)*E5b!H52</f>
        <v>23</v>
      </c>
      <c r="V52">
        <f>(1-I52)*E5b!I52</f>
        <v>36</v>
      </c>
      <c r="W52">
        <f>(1-J52)*E5b!J52</f>
        <v>56.000000000000007</v>
      </c>
      <c r="X52">
        <f>(1-K52)*E5b!K52</f>
        <v>114.99999999999999</v>
      </c>
      <c r="Y52">
        <f>(1-L52)*E5b!L52</f>
        <v>179.99999999999994</v>
      </c>
      <c r="Z52">
        <f>(1-M52)*E5b!M52</f>
        <v>499.99999999999989</v>
      </c>
      <c r="AA52">
        <v>1</v>
      </c>
      <c r="AB52" s="3">
        <f>(E5b!C52-P52-(E5b!B52-O52))/(E5b!C52-E5b!B52)</f>
        <v>0</v>
      </c>
      <c r="AC52" s="69">
        <f>(E5b!D52-Q52-(E5b!C52-P52))/(E5b!D52-E5b!C52)</f>
        <v>0.75</v>
      </c>
      <c r="AD52" s="68">
        <f>(E5b!E52-R52-(E5b!D52-Q52))/(E5b!E52-E5b!D52)</f>
        <v>0.57000000000000028</v>
      </c>
      <c r="AE52" s="3">
        <f>(E5b!F52-S52-(E5b!E52-R52))/(E5b!F52-E5b!E52)</f>
        <v>0.5033333333333333</v>
      </c>
      <c r="AF52" s="3">
        <f>(E5b!G52-T52-(E5b!F52-S52))/(E5b!G52-E5b!F52)</f>
        <v>0.54</v>
      </c>
      <c r="AG52" s="3">
        <f>(E5b!H52-U52-(E5b!G52-T52))/(E5b!H52-E5b!G52)</f>
        <v>0.60666666666666669</v>
      </c>
      <c r="AH52" s="3">
        <f>(E5b!I52-V52-(E5b!H52-U52))/(E5b!I52-E5b!H52)</f>
        <v>0.74</v>
      </c>
      <c r="AI52" s="3">
        <f>(E5b!J52-W52-(E5b!I52-V52))/(E5b!J52-E5b!I52)</f>
        <v>0.8</v>
      </c>
      <c r="AJ52" s="3">
        <f>(E5b!K52-X52-(E5b!J52-W52))/(E5b!K52-E5b!J52)</f>
        <v>0.80333333333333334</v>
      </c>
      <c r="AK52" s="3">
        <f>(E5b!L52-Y52-(E5b!K52-X52))/(E5b!L52-E5b!K52)</f>
        <v>0.87</v>
      </c>
      <c r="AL52" s="3">
        <f>(E5b!M52-Z52-(E5b!L52-Y52))/(E5b!M52-E5b!L52)</f>
        <v>0.92</v>
      </c>
    </row>
    <row r="53" spans="1:38" ht="15.75" customHeight="1" x14ac:dyDescent="0.25">
      <c r="A53" s="21">
        <v>2075</v>
      </c>
      <c r="B53" s="22">
        <f t="shared" si="4"/>
        <v>0</v>
      </c>
      <c r="C53" s="22">
        <f t="shared" si="4"/>
        <v>0</v>
      </c>
      <c r="D53" s="76">
        <f t="shared" si="4"/>
        <v>0.15</v>
      </c>
      <c r="E53" s="22">
        <f t="shared" si="4"/>
        <v>0.27500000000000002</v>
      </c>
      <c r="F53" s="22">
        <f t="shared" si="4"/>
        <v>0.35000000000000003</v>
      </c>
      <c r="G53" s="22">
        <f t="shared" si="4"/>
        <v>0.45000000000000007</v>
      </c>
      <c r="H53" s="22">
        <f t="shared" si="4"/>
        <v>0.55000000000000004</v>
      </c>
      <c r="I53" s="22">
        <f t="shared" si="4"/>
        <v>0.65</v>
      </c>
      <c r="J53" s="22">
        <f t="shared" si="4"/>
        <v>0.72499999999999998</v>
      </c>
      <c r="K53" s="22">
        <f t="shared" si="4"/>
        <v>0.77500000000000002</v>
      </c>
      <c r="L53" s="22">
        <f t="shared" si="4"/>
        <v>0.82500000000000007</v>
      </c>
      <c r="M53" s="22">
        <f t="shared" si="4"/>
        <v>0.9</v>
      </c>
      <c r="N53" s="22"/>
      <c r="O53" s="71">
        <f>(1-B53)*E5b!B53</f>
        <v>3</v>
      </c>
      <c r="P53" s="71">
        <f>(1-C53)*E5b!C53</f>
        <v>4</v>
      </c>
      <c r="Q53" s="2">
        <f>(1-D53)*E5b!D53</f>
        <v>4.25</v>
      </c>
      <c r="R53" s="2">
        <f>(1-E53)*E5b!E53</f>
        <v>5.0750000000000002</v>
      </c>
      <c r="S53" s="2">
        <f>(1-F53)*E5b!F53</f>
        <v>6.4999999999999991</v>
      </c>
      <c r="T53">
        <f>(1-G53)*E5b!G53</f>
        <v>10.999999999999998</v>
      </c>
      <c r="U53">
        <f>(1-H53)*E5b!H53</f>
        <v>22.499999999999996</v>
      </c>
      <c r="V53">
        <f>(1-I53)*E5b!I53</f>
        <v>35</v>
      </c>
      <c r="W53">
        <f>(1-J53)*E5b!J53</f>
        <v>55.000000000000007</v>
      </c>
      <c r="X53">
        <f>(1-K53)*E5b!K53</f>
        <v>112.49999999999999</v>
      </c>
      <c r="Y53">
        <f>(1-L53)*E5b!L53</f>
        <v>174.99999999999994</v>
      </c>
      <c r="Z53">
        <f>(1-M53)*E5b!M53</f>
        <v>499.99999999999989</v>
      </c>
      <c r="AA53">
        <v>1</v>
      </c>
      <c r="AB53" s="3">
        <f>(E5b!C53-P53-(E5b!B53-O53))/(E5b!C53-E5b!B53)</f>
        <v>0</v>
      </c>
      <c r="AC53" s="69">
        <f>(E5b!D53-Q53-(E5b!C53-P53))/(E5b!D53-E5b!C53)</f>
        <v>0.75</v>
      </c>
      <c r="AD53" s="68">
        <f>(E5b!E53-R53-(E5b!D53-Q53))/(E5b!E53-E5b!D53)</f>
        <v>0.58749999999999991</v>
      </c>
      <c r="AE53" s="3">
        <f>(E5b!F53-S53-(E5b!E53-R53))/(E5b!F53-E5b!E53)</f>
        <v>0.52500000000000036</v>
      </c>
      <c r="AF53" s="3">
        <f>(E5b!G53-T53-(E5b!F53-S53))/(E5b!G53-E5b!F53)</f>
        <v>0.55000000000000004</v>
      </c>
      <c r="AG53" s="3">
        <f>(E5b!H53-U53-(E5b!G53-T53))/(E5b!H53-E5b!G53)</f>
        <v>0.6166666666666667</v>
      </c>
      <c r="AH53" s="3">
        <f>(E5b!I53-V53-(E5b!H53-U53))/(E5b!I53-E5b!H53)</f>
        <v>0.75</v>
      </c>
      <c r="AI53" s="3">
        <f>(E5b!J53-W53-(E5b!I53-V53))/(E5b!J53-E5b!I53)</f>
        <v>0.8</v>
      </c>
      <c r="AJ53" s="3">
        <f>(E5b!K53-X53-(E5b!J53-W53))/(E5b!K53-E5b!J53)</f>
        <v>0.80833333333333335</v>
      </c>
      <c r="AK53" s="3">
        <f>(E5b!L53-Y53-(E5b!K53-X53))/(E5b!L53-E5b!K53)</f>
        <v>0.875</v>
      </c>
      <c r="AL53" s="3">
        <f>(E5b!M53-Z53-(E5b!L53-Y53))/(E5b!M53-E5b!L53)</f>
        <v>0.91874999999999996</v>
      </c>
    </row>
    <row r="54" spans="1:38" ht="15.75" customHeight="1" x14ac:dyDescent="0.25">
      <c r="A54" s="21">
        <v>2076</v>
      </c>
      <c r="B54" s="22">
        <f t="shared" si="4"/>
        <v>0</v>
      </c>
      <c r="C54" s="22">
        <f t="shared" si="4"/>
        <v>0</v>
      </c>
      <c r="D54" s="76">
        <f t="shared" si="4"/>
        <v>0.15</v>
      </c>
      <c r="E54" s="22">
        <f t="shared" si="4"/>
        <v>0.28000000000000003</v>
      </c>
      <c r="F54" s="22">
        <f t="shared" si="4"/>
        <v>0.36000000000000004</v>
      </c>
      <c r="G54" s="22">
        <f t="shared" si="4"/>
        <v>0.46000000000000008</v>
      </c>
      <c r="H54" s="22">
        <f t="shared" si="4"/>
        <v>0.56000000000000005</v>
      </c>
      <c r="I54" s="22">
        <f t="shared" si="4"/>
        <v>0.66</v>
      </c>
      <c r="J54" s="22">
        <f t="shared" si="4"/>
        <v>0.73</v>
      </c>
      <c r="K54" s="22">
        <f t="shared" si="4"/>
        <v>0.78</v>
      </c>
      <c r="L54" s="22">
        <f t="shared" si="4"/>
        <v>0.83000000000000007</v>
      </c>
      <c r="M54" s="22">
        <f t="shared" si="4"/>
        <v>0.9</v>
      </c>
      <c r="N54" s="22"/>
      <c r="O54" s="71">
        <f>(1-B54)*E5b!B54</f>
        <v>3</v>
      </c>
      <c r="P54" s="71">
        <f>(1-C54)*E5b!C54</f>
        <v>4</v>
      </c>
      <c r="Q54" s="2">
        <f>(1-D54)*E5b!D54</f>
        <v>4.25</v>
      </c>
      <c r="R54" s="2">
        <f>(1-E54)*E5b!E54</f>
        <v>5.04</v>
      </c>
      <c r="S54" s="2">
        <f>(1-F54)*E5b!F54</f>
        <v>6.3999999999999986</v>
      </c>
      <c r="T54">
        <f>(1-G54)*E5b!G54</f>
        <v>10.799999999999999</v>
      </c>
      <c r="U54">
        <f>(1-H54)*E5b!H54</f>
        <v>21.999999999999996</v>
      </c>
      <c r="V54">
        <f>(1-I54)*E5b!I54</f>
        <v>34</v>
      </c>
      <c r="W54">
        <f>(1-J54)*E5b!J54</f>
        <v>54</v>
      </c>
      <c r="X54">
        <f>(1-K54)*E5b!K54</f>
        <v>109.99999999999999</v>
      </c>
      <c r="Y54">
        <f>(1-L54)*E5b!L54</f>
        <v>169.99999999999994</v>
      </c>
      <c r="Z54">
        <f>(1-M54)*E5b!M54</f>
        <v>499.99999999999989</v>
      </c>
      <c r="AA54">
        <v>1</v>
      </c>
      <c r="AB54" s="3">
        <f>(E5b!C54-P54-(E5b!B54-O54))/(E5b!C54-E5b!B54)</f>
        <v>0</v>
      </c>
      <c r="AC54" s="69">
        <f>(E5b!D54-Q54-(E5b!C54-P54))/(E5b!D54-E5b!C54)</f>
        <v>0.75</v>
      </c>
      <c r="AD54" s="68">
        <f>(E5b!E54-R54-(E5b!D54-Q54))/(E5b!E54-E5b!D54)</f>
        <v>0.60499999999999998</v>
      </c>
      <c r="AE54" s="3">
        <f>(E5b!F54-S54-(E5b!E54-R54))/(E5b!F54-E5b!E54)</f>
        <v>0.54666666666666719</v>
      </c>
      <c r="AF54" s="3">
        <f>(E5b!G54-T54-(E5b!F54-S54))/(E5b!G54-E5b!F54)</f>
        <v>0.55999999999999994</v>
      </c>
      <c r="AG54" s="3">
        <f>(E5b!H54-U54-(E5b!G54-T54))/(E5b!H54-E5b!G54)</f>
        <v>0.62666666666666682</v>
      </c>
      <c r="AH54" s="3">
        <f>(E5b!I54-V54-(E5b!H54-U54))/(E5b!I54-E5b!H54)</f>
        <v>0.76</v>
      </c>
      <c r="AI54" s="3">
        <f>(E5b!J54-W54-(E5b!I54-V54))/(E5b!J54-E5b!I54)</f>
        <v>0.8</v>
      </c>
      <c r="AJ54" s="3">
        <f>(E5b!K54-X54-(E5b!J54-W54))/(E5b!K54-E5b!J54)</f>
        <v>0.81333333333333335</v>
      </c>
      <c r="AK54" s="3">
        <f>(E5b!L54-Y54-(E5b!K54-X54))/(E5b!L54-E5b!K54)</f>
        <v>0.88</v>
      </c>
      <c r="AL54" s="3">
        <f>(E5b!M54-Z54-(E5b!L54-Y54))/(E5b!M54-E5b!L54)</f>
        <v>0.91749999999999998</v>
      </c>
    </row>
    <row r="55" spans="1:38" ht="15.75" customHeight="1" x14ac:dyDescent="0.25">
      <c r="A55" s="21">
        <v>2077</v>
      </c>
      <c r="B55" s="22">
        <f t="shared" si="4"/>
        <v>0</v>
      </c>
      <c r="C55" s="22">
        <f t="shared" si="4"/>
        <v>0</v>
      </c>
      <c r="D55" s="76">
        <f t="shared" si="4"/>
        <v>0.15</v>
      </c>
      <c r="E55" s="22">
        <f t="shared" si="4"/>
        <v>0.28500000000000003</v>
      </c>
      <c r="F55" s="22">
        <f t="shared" si="4"/>
        <v>0.37000000000000005</v>
      </c>
      <c r="G55" s="22">
        <f t="shared" si="4"/>
        <v>0.47000000000000008</v>
      </c>
      <c r="H55" s="22">
        <f t="shared" si="4"/>
        <v>0.57000000000000006</v>
      </c>
      <c r="I55" s="22">
        <f t="shared" si="4"/>
        <v>0.67</v>
      </c>
      <c r="J55" s="22">
        <f t="shared" si="4"/>
        <v>0.73499999999999999</v>
      </c>
      <c r="K55" s="22">
        <f t="shared" si="4"/>
        <v>0.78500000000000003</v>
      </c>
      <c r="L55" s="22">
        <f t="shared" si="4"/>
        <v>0.83500000000000008</v>
      </c>
      <c r="M55" s="22">
        <f t="shared" si="4"/>
        <v>0.9</v>
      </c>
      <c r="N55" s="22"/>
      <c r="O55" s="71">
        <f>(1-B55)*E5b!B55</f>
        <v>3</v>
      </c>
      <c r="P55" s="71">
        <f>(1-C55)*E5b!C55</f>
        <v>4</v>
      </c>
      <c r="Q55" s="2">
        <f>(1-D55)*E5b!D55</f>
        <v>4.25</v>
      </c>
      <c r="R55" s="2">
        <f>(1-E55)*E5b!E55</f>
        <v>5.0049999999999999</v>
      </c>
      <c r="S55" s="2">
        <f>(1-F55)*E5b!F55</f>
        <v>6.2999999999999989</v>
      </c>
      <c r="T55">
        <f>(1-G55)*E5b!G55</f>
        <v>10.599999999999998</v>
      </c>
      <c r="U55">
        <f>(1-H55)*E5b!H55</f>
        <v>21.499999999999996</v>
      </c>
      <c r="V55">
        <f>(1-I55)*E5b!I55</f>
        <v>32.999999999999993</v>
      </c>
      <c r="W55">
        <f>(1-J55)*E5b!J55</f>
        <v>53</v>
      </c>
      <c r="X55">
        <f>(1-K55)*E5b!K55</f>
        <v>107.49999999999999</v>
      </c>
      <c r="Y55">
        <f>(1-L55)*E5b!L55</f>
        <v>164.99999999999991</v>
      </c>
      <c r="Z55">
        <f>(1-M55)*E5b!M55</f>
        <v>499.99999999999989</v>
      </c>
      <c r="AA55">
        <v>2</v>
      </c>
      <c r="AB55" s="3">
        <f>(E5b!C55-P55-(E5b!B55-O55))/(E5b!C55-E5b!B55)</f>
        <v>0</v>
      </c>
      <c r="AC55" s="69">
        <f>(E5b!D55-Q55-(E5b!C55-P55))/(E5b!D55-E5b!C55)</f>
        <v>0.75</v>
      </c>
      <c r="AD55" s="68">
        <f>(E5b!E55-R55-(E5b!D55-Q55))/(E5b!E55-E5b!D55)</f>
        <v>0.62250000000000005</v>
      </c>
      <c r="AE55" s="68">
        <f>(E5b!F55-S55-(E5b!E55-R55))/(E5b!F55-E5b!E55)</f>
        <v>0.56833333333333369</v>
      </c>
      <c r="AF55" s="68">
        <f>(E5b!G55-T55-(E5b!F55-S55))/(E5b!G55-E5b!F55)</f>
        <v>0.57000000000000006</v>
      </c>
      <c r="AG55" s="3">
        <f>(E5b!H55-U55-(E5b!G55-T55))/(E5b!H55-E5b!G55)</f>
        <v>0.63666666666666671</v>
      </c>
      <c r="AH55" s="3">
        <f>(E5b!I55-V55-(E5b!H55-U55))/(E5b!I55-E5b!H55)</f>
        <v>0.77</v>
      </c>
      <c r="AI55" s="3">
        <f>(E5b!J55-W55-(E5b!I55-V55))/(E5b!J55-E5b!I55)</f>
        <v>0.8</v>
      </c>
      <c r="AJ55" s="3">
        <f>(E5b!K55-X55-(E5b!J55-W55))/(E5b!K55-E5b!J55)</f>
        <v>0.81833333333333336</v>
      </c>
      <c r="AK55" s="3">
        <f>(E5b!L55-Y55-(E5b!K55-X55))/(E5b!L55-E5b!K55)</f>
        <v>0.88500000000000023</v>
      </c>
      <c r="AL55" s="3">
        <f>(E5b!M55-Z55-(E5b!L55-Y55))/(E5b!M55-E5b!L55)</f>
        <v>0.91625000000000001</v>
      </c>
    </row>
    <row r="56" spans="1:38" ht="15.75" customHeight="1" x14ac:dyDescent="0.25">
      <c r="A56" s="21">
        <v>2078</v>
      </c>
      <c r="B56" s="22">
        <f t="shared" si="4"/>
        <v>0</v>
      </c>
      <c r="C56" s="22">
        <f t="shared" si="4"/>
        <v>0</v>
      </c>
      <c r="D56" s="76">
        <f t="shared" si="4"/>
        <v>0.15</v>
      </c>
      <c r="E56" s="22">
        <f t="shared" si="4"/>
        <v>0.29000000000000004</v>
      </c>
      <c r="F56" s="22">
        <f t="shared" si="4"/>
        <v>0.38000000000000006</v>
      </c>
      <c r="G56" s="22">
        <f t="shared" si="4"/>
        <v>0.48000000000000009</v>
      </c>
      <c r="H56" s="22">
        <f t="shared" si="4"/>
        <v>0.58000000000000007</v>
      </c>
      <c r="I56" s="22">
        <f t="shared" si="4"/>
        <v>0.68</v>
      </c>
      <c r="J56" s="22">
        <f t="shared" si="4"/>
        <v>0.74</v>
      </c>
      <c r="K56" s="22">
        <f t="shared" si="4"/>
        <v>0.79</v>
      </c>
      <c r="L56" s="22">
        <f t="shared" si="4"/>
        <v>0.84000000000000008</v>
      </c>
      <c r="M56" s="22">
        <f t="shared" si="4"/>
        <v>0.9</v>
      </c>
      <c r="N56" s="22"/>
      <c r="O56">
        <f>(1-B56)*E5b!B56</f>
        <v>3</v>
      </c>
      <c r="P56">
        <f>(1-C56)*E5b!C56</f>
        <v>4</v>
      </c>
      <c r="Q56">
        <f>(1-D56)*E5b!D56</f>
        <v>4.25</v>
      </c>
      <c r="R56">
        <f>(1-E56)*E5b!E56</f>
        <v>4.97</v>
      </c>
      <c r="S56">
        <f>(1-F56)*E5b!F56</f>
        <v>6.1999999999999993</v>
      </c>
      <c r="T56">
        <f>(1-G56)*E5b!G56</f>
        <v>10.399999999999999</v>
      </c>
      <c r="U56">
        <f>(1-H56)*E5b!H56</f>
        <v>20.999999999999996</v>
      </c>
      <c r="V56">
        <f>(1-I56)*E5b!I56</f>
        <v>31.999999999999996</v>
      </c>
      <c r="W56">
        <f>(1-J56)*E5b!J56</f>
        <v>52</v>
      </c>
      <c r="X56">
        <f>(1-K56)*E5b!K56</f>
        <v>104.99999999999999</v>
      </c>
      <c r="Y56">
        <f>(1-L56)*E5b!L56</f>
        <v>159.99999999999991</v>
      </c>
      <c r="Z56">
        <f>(1-M56)*E5b!M56</f>
        <v>499.99999999999989</v>
      </c>
      <c r="AA56">
        <v>2</v>
      </c>
      <c r="AB56" s="3">
        <f>(E5b!C56-P56-(E5b!B56-O56))/(E5b!C56-E5b!B56)</f>
        <v>0</v>
      </c>
      <c r="AC56" s="69">
        <f>(E5b!D56-Q56-(E5b!C56-P56))/(E5b!D56-E5b!C56)</f>
        <v>0.75</v>
      </c>
      <c r="AD56" s="68">
        <f>(E5b!E56-R56-(E5b!D56-Q56))/(E5b!E56-E5b!D56)</f>
        <v>0.64000000000000012</v>
      </c>
      <c r="AE56" s="68">
        <f>(E5b!F56-S56-(E5b!E56-R56))/(E5b!F56-E5b!E56)</f>
        <v>0.59000000000000019</v>
      </c>
      <c r="AF56" s="68">
        <f>(E5b!G56-T56-(E5b!F56-S56))/(E5b!G56-E5b!F56)</f>
        <v>0.58000000000000007</v>
      </c>
      <c r="AG56" s="3">
        <f>(E5b!H56-U56-(E5b!G56-T56))/(E5b!H56-E5b!G56)</f>
        <v>0.64666666666666672</v>
      </c>
      <c r="AH56" s="3">
        <f>(E5b!I56-V56-(E5b!H56-U56))/(E5b!I56-E5b!H56)</f>
        <v>0.78</v>
      </c>
      <c r="AI56" s="3">
        <f>(E5b!J56-W56-(E5b!I56-V56))/(E5b!J56-E5b!I56)</f>
        <v>0.8</v>
      </c>
      <c r="AJ56" s="3">
        <f>(E5b!K56-X56-(E5b!J56-W56))/(E5b!K56-E5b!J56)</f>
        <v>0.82333333333333336</v>
      </c>
      <c r="AK56" s="3">
        <f>(E5b!L56-Y56-(E5b!K56-X56))/(E5b!L56-E5b!K56)</f>
        <v>0.89000000000000024</v>
      </c>
      <c r="AL56" s="3">
        <f>(E5b!M56-Z56-(E5b!L56-Y56))/(E5b!M56-E5b!L56)</f>
        <v>0.91500000000000004</v>
      </c>
    </row>
    <row r="57" spans="1:38" ht="15.75" customHeight="1" x14ac:dyDescent="0.25">
      <c r="A57" s="21">
        <v>2079</v>
      </c>
      <c r="B57" s="22">
        <f t="shared" si="4"/>
        <v>0</v>
      </c>
      <c r="C57" s="22">
        <f t="shared" si="4"/>
        <v>0</v>
      </c>
      <c r="D57" s="76">
        <f t="shared" si="4"/>
        <v>0.15</v>
      </c>
      <c r="E57" s="22">
        <f t="shared" si="4"/>
        <v>0.29500000000000004</v>
      </c>
      <c r="F57" s="22">
        <f t="shared" si="4"/>
        <v>0.39000000000000007</v>
      </c>
      <c r="G57" s="22">
        <f t="shared" si="4"/>
        <v>0.4900000000000001</v>
      </c>
      <c r="H57" s="22">
        <f t="shared" si="4"/>
        <v>0.59000000000000008</v>
      </c>
      <c r="I57" s="22">
        <f t="shared" si="4"/>
        <v>0.69000000000000006</v>
      </c>
      <c r="J57" s="22">
        <f t="shared" si="4"/>
        <v>0.745</v>
      </c>
      <c r="K57" s="22">
        <f t="shared" si="4"/>
        <v>0.79500000000000004</v>
      </c>
      <c r="L57" s="22">
        <f t="shared" si="4"/>
        <v>0.84500000000000008</v>
      </c>
      <c r="M57" s="22">
        <f t="shared" si="4"/>
        <v>0.9</v>
      </c>
      <c r="N57" s="22"/>
      <c r="O57">
        <f>(1-B57)*E5b!B57</f>
        <v>3</v>
      </c>
      <c r="P57">
        <f>(1-C57)*E5b!C57</f>
        <v>4</v>
      </c>
      <c r="Q57">
        <f>(1-D57)*E5b!D57</f>
        <v>4.25</v>
      </c>
      <c r="R57">
        <f>(1-E57)*E5b!E57</f>
        <v>4.9349999999999996</v>
      </c>
      <c r="S57">
        <f>(1-F57)*E5b!F57</f>
        <v>6.0999999999999988</v>
      </c>
      <c r="T57">
        <f>(1-G57)*E5b!G57</f>
        <v>10.199999999999998</v>
      </c>
      <c r="U57">
        <f>(1-H57)*E5b!H57</f>
        <v>20.499999999999996</v>
      </c>
      <c r="V57">
        <f>(1-I57)*E5b!I57</f>
        <v>30.999999999999993</v>
      </c>
      <c r="W57">
        <f>(1-J57)*E5b!J57</f>
        <v>51</v>
      </c>
      <c r="X57">
        <f>(1-K57)*E5b!K57</f>
        <v>102.49999999999999</v>
      </c>
      <c r="Y57">
        <f>(1-L57)*E5b!L57</f>
        <v>154.99999999999991</v>
      </c>
      <c r="Z57">
        <f>(1-M57)*E5b!M57</f>
        <v>499.99999999999989</v>
      </c>
      <c r="AA57">
        <v>2</v>
      </c>
      <c r="AB57" s="3">
        <f>(E5b!C57-P57-(E5b!B57-O57))/(E5b!C57-E5b!B57)</f>
        <v>0</v>
      </c>
      <c r="AC57" s="69">
        <f>(E5b!D57-Q57-(E5b!C57-P57))/(E5b!D57-E5b!C57)</f>
        <v>0.75</v>
      </c>
      <c r="AD57" s="68">
        <f>(E5b!E57-R57-(E5b!D57-Q57))/(E5b!E57-E5b!D57)</f>
        <v>0.6575000000000002</v>
      </c>
      <c r="AE57" s="68">
        <f>(E5b!F57-S57-(E5b!E57-R57))/(E5b!F57-E5b!E57)</f>
        <v>0.61166666666666691</v>
      </c>
      <c r="AF57" s="68">
        <f>(E5b!G57-T57-(E5b!F57-S57))/(E5b!G57-E5b!F57)</f>
        <v>0.59000000000000008</v>
      </c>
      <c r="AG57" s="3">
        <f>(E5b!H57-U57-(E5b!G57-T57))/(E5b!H57-E5b!G57)</f>
        <v>0.65666666666666673</v>
      </c>
      <c r="AH57" s="3">
        <f>(E5b!I57-V57-(E5b!H57-U57))/(E5b!I57-E5b!H57)</f>
        <v>0.79</v>
      </c>
      <c r="AI57" s="3">
        <f>(E5b!J57-W57-(E5b!I57-V57))/(E5b!J57-E5b!I57)</f>
        <v>0.8</v>
      </c>
      <c r="AJ57" s="3">
        <f>(E5b!K57-X57-(E5b!J57-W57))/(E5b!K57-E5b!J57)</f>
        <v>0.82833333333333337</v>
      </c>
      <c r="AK57" s="3">
        <f>(E5b!L57-Y57-(E5b!K57-X57))/(E5b!L57-E5b!K57)</f>
        <v>0.89500000000000024</v>
      </c>
      <c r="AL57" s="3">
        <f>(E5b!M57-Z57-(E5b!L57-Y57))/(E5b!M57-E5b!L57)</f>
        <v>0.91374999999999995</v>
      </c>
    </row>
    <row r="58" spans="1:38" ht="15.75" customHeight="1" x14ac:dyDescent="0.25">
      <c r="A58" s="21">
        <v>2080</v>
      </c>
      <c r="B58" s="30">
        <v>0</v>
      </c>
      <c r="C58" s="30">
        <v>0</v>
      </c>
      <c r="D58" s="77">
        <v>0.15</v>
      </c>
      <c r="E58" s="30">
        <v>0.3</v>
      </c>
      <c r="F58" s="30">
        <v>0.4</v>
      </c>
      <c r="G58" s="30">
        <v>0.5</v>
      </c>
      <c r="H58" s="30">
        <v>0.6</v>
      </c>
      <c r="I58" s="30">
        <v>0.7</v>
      </c>
      <c r="J58" s="30">
        <v>0.75</v>
      </c>
      <c r="K58" s="30">
        <v>0.8</v>
      </c>
      <c r="L58" s="30">
        <v>0.85</v>
      </c>
      <c r="M58" s="30">
        <v>0.9</v>
      </c>
      <c r="N58" s="30"/>
      <c r="O58">
        <f>(1-B58)*E5b!B58</f>
        <v>3</v>
      </c>
      <c r="P58">
        <f>(1-C58)*E5b!C58</f>
        <v>4</v>
      </c>
      <c r="Q58">
        <f>(1-D58)*E5b!D58</f>
        <v>4.25</v>
      </c>
      <c r="R58">
        <f>(1-E58)*E5b!E58</f>
        <v>4.8999999999999995</v>
      </c>
      <c r="S58">
        <f>(1-F58)*E5b!F58</f>
        <v>6</v>
      </c>
      <c r="T58">
        <f>(1-G58)*E5b!G58</f>
        <v>10</v>
      </c>
      <c r="U58">
        <f>(1-H58)*E5b!H58</f>
        <v>20</v>
      </c>
      <c r="V58">
        <f>(1-I58)*E5b!I58</f>
        <v>30.000000000000004</v>
      </c>
      <c r="W58">
        <f>(1-J58)*E5b!J58</f>
        <v>50</v>
      </c>
      <c r="X58">
        <f>(1-K58)*E5b!K58</f>
        <v>99.999999999999972</v>
      </c>
      <c r="Y58">
        <f>(1-L58)*E5b!L58</f>
        <v>150.00000000000003</v>
      </c>
      <c r="Z58">
        <f>(1-M58)*E5b!M58</f>
        <v>499.99999999999989</v>
      </c>
      <c r="AA58">
        <v>2</v>
      </c>
      <c r="AB58" s="3">
        <f>(E5b!C58-P58-(E5b!B58-O58))/(E5b!C58-E5b!B58)</f>
        <v>0</v>
      </c>
      <c r="AC58" s="69">
        <f>(E5b!D58-Q58-(E5b!C58-P58))/(E5b!D58-E5b!C58)</f>
        <v>0.75</v>
      </c>
      <c r="AD58" s="68">
        <f>(E5b!E58-R58-(E5b!D58-Q58))/(E5b!E58-E5b!D58)</f>
        <v>0.67500000000000027</v>
      </c>
      <c r="AE58" s="68">
        <f>(E5b!F58-S58-(E5b!E58-R58))/(E5b!F58-E5b!E58)</f>
        <v>0.63333333333333319</v>
      </c>
      <c r="AF58" s="68">
        <f>(E5b!G58-T58-(E5b!F58-S58))/(E5b!G58-E5b!F58)</f>
        <v>0.6</v>
      </c>
      <c r="AG58" s="3">
        <f>(E5b!H58-U58-(E5b!G58-T58))/(E5b!H58-E5b!G58)</f>
        <v>0.66666666666666663</v>
      </c>
      <c r="AH58" s="3">
        <f>(E5b!I58-V58-(E5b!H58-U58))/(E5b!I58-E5b!H58)</f>
        <v>0.8</v>
      </c>
      <c r="AI58" s="3">
        <f>(E5b!J58-W58-(E5b!I58-V58))/(E5b!J58-E5b!I58)</f>
        <v>0.8</v>
      </c>
      <c r="AJ58" s="3">
        <f>(E5b!K58-X58-(E5b!J58-W58))/(E5b!K58-E5b!J58)</f>
        <v>0.83333333333333337</v>
      </c>
      <c r="AK58" s="3">
        <f>(E5b!L58-Y58-(E5b!K58-X58))/(E5b!L58-E5b!K58)</f>
        <v>0.9</v>
      </c>
      <c r="AL58" s="3">
        <f>(E5b!M58-Z58-(E5b!L58-Y58))/(E5b!M58-E5b!L58)</f>
        <v>0.91249999999999998</v>
      </c>
    </row>
    <row r="59" spans="1:38" ht="15.75" customHeight="1" x14ac:dyDescent="0.25">
      <c r="A59" s="21">
        <v>2081</v>
      </c>
      <c r="B59" s="22">
        <f t="shared" ref="B59:M74" si="5">B58+(B$78-B$58)/20</f>
        <v>0</v>
      </c>
      <c r="C59" s="22">
        <f t="shared" si="5"/>
        <v>0</v>
      </c>
      <c r="D59" s="76">
        <f t="shared" si="5"/>
        <v>0.15</v>
      </c>
      <c r="E59" s="22">
        <f t="shared" si="5"/>
        <v>0.3</v>
      </c>
      <c r="F59" s="22">
        <f t="shared" si="5"/>
        <v>0.4</v>
      </c>
      <c r="G59" s="22">
        <f t="shared" si="5"/>
        <v>0.5</v>
      </c>
      <c r="H59" s="22">
        <f t="shared" si="5"/>
        <v>0.6</v>
      </c>
      <c r="I59" s="22">
        <f t="shared" si="5"/>
        <v>0.7</v>
      </c>
      <c r="J59" s="22">
        <f t="shared" si="5"/>
        <v>0.75</v>
      </c>
      <c r="K59" s="22">
        <f t="shared" si="5"/>
        <v>0.8</v>
      </c>
      <c r="L59" s="22">
        <f t="shared" si="5"/>
        <v>0.85</v>
      </c>
      <c r="M59" s="22">
        <f t="shared" si="5"/>
        <v>0.9</v>
      </c>
      <c r="N59" s="22"/>
      <c r="O59">
        <f>(1-B59)*E5b!B59</f>
        <v>3</v>
      </c>
      <c r="P59">
        <f>(1-C59)*E5b!C59</f>
        <v>4</v>
      </c>
      <c r="Q59">
        <f>(1-D59)*E5b!D59</f>
        <v>4.25</v>
      </c>
      <c r="R59">
        <f>(1-E59)*E5b!E59</f>
        <v>4.8999999999999995</v>
      </c>
      <c r="S59">
        <f>(1-F59)*E5b!F59</f>
        <v>6</v>
      </c>
      <c r="T59">
        <f>(1-G59)*E5b!G59</f>
        <v>10</v>
      </c>
      <c r="U59">
        <f>(1-H59)*E5b!H59</f>
        <v>20</v>
      </c>
      <c r="V59">
        <f>(1-I59)*E5b!I59</f>
        <v>30.000000000000004</v>
      </c>
      <c r="W59">
        <f>(1-J59)*E5b!J59</f>
        <v>50</v>
      </c>
      <c r="X59">
        <f>(1-K59)*E5b!K59</f>
        <v>99.999999999999972</v>
      </c>
      <c r="Y59">
        <f>(1-L59)*E5b!L59</f>
        <v>150.00000000000003</v>
      </c>
      <c r="Z59">
        <f>(1-M59)*E5b!M59</f>
        <v>499.99999999999989</v>
      </c>
      <c r="AA59">
        <v>2</v>
      </c>
      <c r="AB59" s="3">
        <f>(E5b!C59-P59-(E5b!B59-O59))/(E5b!C59-E5b!B59)</f>
        <v>0</v>
      </c>
      <c r="AC59" s="69">
        <f>(E5b!D59-Q59-(E5b!C59-P59))/(E5b!D59-E5b!C59)</f>
        <v>0.75</v>
      </c>
      <c r="AD59" s="68">
        <f>(E5b!E59-R59-(E5b!D59-Q59))/(E5b!E59-E5b!D59)</f>
        <v>0.67500000000000027</v>
      </c>
      <c r="AE59" s="68">
        <f>(E5b!F59-S59-(E5b!E59-R59))/(E5b!F59-E5b!E59)</f>
        <v>0.63333333333333319</v>
      </c>
      <c r="AF59" s="68">
        <f>(E5b!G59-T59-(E5b!F59-S59))/(E5b!G59-E5b!F59)</f>
        <v>0.6</v>
      </c>
      <c r="AG59" s="3">
        <f>(E5b!H59-U59-(E5b!G59-T59))/(E5b!H59-E5b!G59)</f>
        <v>0.66666666666666663</v>
      </c>
      <c r="AH59" s="3">
        <f>(E5b!I59-V59-(E5b!H59-U59))/(E5b!I59-E5b!H59)</f>
        <v>0.8</v>
      </c>
      <c r="AI59" s="3">
        <f>(E5b!J59-W59-(E5b!I59-V59))/(E5b!J59-E5b!I59)</f>
        <v>0.8</v>
      </c>
      <c r="AJ59" s="3">
        <f>(E5b!K59-X59-(E5b!J59-W59))/(E5b!K59-E5b!J59)</f>
        <v>0.83333333333333337</v>
      </c>
      <c r="AK59" s="3">
        <f>(E5b!L59-Y59-(E5b!K59-X59))/(E5b!L59-E5b!K59)</f>
        <v>0.9</v>
      </c>
      <c r="AL59" s="3">
        <f>(E5b!M59-Z59-(E5b!L59-Y59))/(E5b!M59-E5b!L59)</f>
        <v>0.91249999999999998</v>
      </c>
    </row>
    <row r="60" spans="1:38" ht="15.75" customHeight="1" x14ac:dyDescent="0.25">
      <c r="A60" s="21">
        <v>2082</v>
      </c>
      <c r="B60" s="22">
        <f t="shared" si="5"/>
        <v>0</v>
      </c>
      <c r="C60" s="22">
        <f t="shared" si="5"/>
        <v>0</v>
      </c>
      <c r="D60" s="76">
        <f t="shared" si="5"/>
        <v>0.15</v>
      </c>
      <c r="E60" s="22">
        <f t="shared" si="5"/>
        <v>0.3</v>
      </c>
      <c r="F60" s="22">
        <f t="shared" si="5"/>
        <v>0.4</v>
      </c>
      <c r="G60" s="22">
        <f t="shared" si="5"/>
        <v>0.5</v>
      </c>
      <c r="H60" s="22">
        <f t="shared" si="5"/>
        <v>0.6</v>
      </c>
      <c r="I60" s="22">
        <f t="shared" si="5"/>
        <v>0.7</v>
      </c>
      <c r="J60" s="22">
        <f t="shared" si="5"/>
        <v>0.75</v>
      </c>
      <c r="K60" s="22">
        <f t="shared" si="5"/>
        <v>0.8</v>
      </c>
      <c r="L60" s="22">
        <f t="shared" si="5"/>
        <v>0.85</v>
      </c>
      <c r="M60" s="22">
        <f t="shared" si="5"/>
        <v>0.9</v>
      </c>
      <c r="N60" s="22"/>
      <c r="O60">
        <f>(1-B60)*E5b!B60</f>
        <v>3</v>
      </c>
      <c r="P60">
        <f>(1-C60)*E5b!C60</f>
        <v>4</v>
      </c>
      <c r="Q60">
        <f>(1-D60)*E5b!D60</f>
        <v>4.25</v>
      </c>
      <c r="R60">
        <f>(1-E60)*E5b!E60</f>
        <v>4.8999999999999995</v>
      </c>
      <c r="S60">
        <f>(1-F60)*E5b!F60</f>
        <v>6</v>
      </c>
      <c r="T60">
        <f>(1-G60)*E5b!G60</f>
        <v>10</v>
      </c>
      <c r="U60">
        <f>(1-H60)*E5b!H60</f>
        <v>20</v>
      </c>
      <c r="V60">
        <f>(1-I60)*E5b!I60</f>
        <v>30.000000000000004</v>
      </c>
      <c r="W60">
        <f>(1-J60)*E5b!J60</f>
        <v>50</v>
      </c>
      <c r="X60">
        <f>(1-K60)*E5b!K60</f>
        <v>99.999999999999972</v>
      </c>
      <c r="Y60">
        <f>(1-L60)*E5b!L60</f>
        <v>150.00000000000003</v>
      </c>
      <c r="Z60">
        <f>(1-M60)*E5b!M60</f>
        <v>499.99999999999989</v>
      </c>
      <c r="AA60">
        <v>2</v>
      </c>
      <c r="AB60" s="3">
        <f>(E5b!C60-P60-(E5b!B60-O60))/(E5b!C60-E5b!B60)</f>
        <v>0</v>
      </c>
      <c r="AC60" s="69">
        <f>(E5b!D60-Q60-(E5b!C60-P60))/(E5b!D60-E5b!C60)</f>
        <v>0.75</v>
      </c>
      <c r="AD60" s="68">
        <f>(E5b!E60-R60-(E5b!D60-Q60))/(E5b!E60-E5b!D60)</f>
        <v>0.67500000000000027</v>
      </c>
      <c r="AE60" s="68">
        <f>(E5b!F60-S60-(E5b!E60-R60))/(E5b!F60-E5b!E60)</f>
        <v>0.63333333333333319</v>
      </c>
      <c r="AF60" s="68">
        <f>(E5b!G60-T60-(E5b!F60-S60))/(E5b!G60-E5b!F60)</f>
        <v>0.6</v>
      </c>
      <c r="AG60" s="3">
        <f>(E5b!H60-U60-(E5b!G60-T60))/(E5b!H60-E5b!G60)</f>
        <v>0.66666666666666663</v>
      </c>
      <c r="AH60" s="3">
        <f>(E5b!I60-V60-(E5b!H60-U60))/(E5b!I60-E5b!H60)</f>
        <v>0.8</v>
      </c>
      <c r="AI60" s="3">
        <f>(E5b!J60-W60-(E5b!I60-V60))/(E5b!J60-E5b!I60)</f>
        <v>0.8</v>
      </c>
      <c r="AJ60" s="3">
        <f>(E5b!K60-X60-(E5b!J60-W60))/(E5b!K60-E5b!J60)</f>
        <v>0.83333333333333337</v>
      </c>
      <c r="AK60" s="3">
        <f>(E5b!L60-Y60-(E5b!K60-X60))/(E5b!L60-E5b!K60)</f>
        <v>0.9</v>
      </c>
      <c r="AL60" s="3">
        <f>(E5b!M60-Z60-(E5b!L60-Y60))/(E5b!M60-E5b!L60)</f>
        <v>0.91249999999999998</v>
      </c>
    </row>
    <row r="61" spans="1:38" ht="15.75" customHeight="1" x14ac:dyDescent="0.25">
      <c r="A61" s="21">
        <v>2083</v>
      </c>
      <c r="B61" s="22">
        <f t="shared" si="5"/>
        <v>0</v>
      </c>
      <c r="C61" s="22">
        <f t="shared" si="5"/>
        <v>0</v>
      </c>
      <c r="D61" s="76">
        <f t="shared" si="5"/>
        <v>0.15</v>
      </c>
      <c r="E61" s="22">
        <f t="shared" si="5"/>
        <v>0.3</v>
      </c>
      <c r="F61" s="22">
        <f t="shared" si="5"/>
        <v>0.4</v>
      </c>
      <c r="G61" s="22">
        <f t="shared" si="5"/>
        <v>0.5</v>
      </c>
      <c r="H61" s="22">
        <f t="shared" si="5"/>
        <v>0.6</v>
      </c>
      <c r="I61" s="22">
        <f t="shared" si="5"/>
        <v>0.7</v>
      </c>
      <c r="J61" s="22">
        <f t="shared" si="5"/>
        <v>0.75</v>
      </c>
      <c r="K61" s="22">
        <f t="shared" si="5"/>
        <v>0.8</v>
      </c>
      <c r="L61" s="22">
        <f t="shared" si="5"/>
        <v>0.85</v>
      </c>
      <c r="M61" s="22">
        <f t="shared" si="5"/>
        <v>0.9</v>
      </c>
      <c r="N61" s="22"/>
      <c r="O61">
        <f>(1-B61)*E5b!B61</f>
        <v>3</v>
      </c>
      <c r="P61">
        <f>(1-C61)*E5b!C61</f>
        <v>4</v>
      </c>
      <c r="Q61">
        <f>(1-D61)*E5b!D61</f>
        <v>4.25</v>
      </c>
      <c r="R61">
        <f>(1-E61)*E5b!E61</f>
        <v>4.8999999999999995</v>
      </c>
      <c r="S61">
        <f>(1-F61)*E5b!F61</f>
        <v>6</v>
      </c>
      <c r="T61">
        <f>(1-G61)*E5b!G61</f>
        <v>10</v>
      </c>
      <c r="U61">
        <f>(1-H61)*E5b!H61</f>
        <v>20</v>
      </c>
      <c r="V61">
        <f>(1-I61)*E5b!I61</f>
        <v>30.000000000000004</v>
      </c>
      <c r="W61">
        <f>(1-J61)*E5b!J61</f>
        <v>50</v>
      </c>
      <c r="X61">
        <f>(1-K61)*E5b!K61</f>
        <v>99.999999999999972</v>
      </c>
      <c r="Y61">
        <f>(1-L61)*E5b!L61</f>
        <v>150.00000000000003</v>
      </c>
      <c r="Z61">
        <f>(1-M61)*E5b!M61</f>
        <v>499.99999999999989</v>
      </c>
      <c r="AA61">
        <v>2</v>
      </c>
      <c r="AB61" s="3">
        <f>(E5b!C61-P61-(E5b!B61-O61))/(E5b!C61-E5b!B61)</f>
        <v>0</v>
      </c>
      <c r="AC61" s="69">
        <f>(E5b!D61-Q61-(E5b!C61-P61))/(E5b!D61-E5b!C61)</f>
        <v>0.75</v>
      </c>
      <c r="AD61" s="68">
        <f>(E5b!E61-R61-(E5b!D61-Q61))/(E5b!E61-E5b!D61)</f>
        <v>0.67500000000000027</v>
      </c>
      <c r="AE61" s="68">
        <f>(E5b!F61-S61-(E5b!E61-R61))/(E5b!F61-E5b!E61)</f>
        <v>0.63333333333333319</v>
      </c>
      <c r="AF61" s="68">
        <f>(E5b!G61-T61-(E5b!F61-S61))/(E5b!G61-E5b!F61)</f>
        <v>0.6</v>
      </c>
      <c r="AG61" s="3">
        <f>(E5b!H61-U61-(E5b!G61-T61))/(E5b!H61-E5b!G61)</f>
        <v>0.66666666666666663</v>
      </c>
      <c r="AH61" s="3">
        <f>(E5b!I61-V61-(E5b!H61-U61))/(E5b!I61-E5b!H61)</f>
        <v>0.8</v>
      </c>
      <c r="AI61" s="3">
        <f>(E5b!J61-W61-(E5b!I61-V61))/(E5b!J61-E5b!I61)</f>
        <v>0.8</v>
      </c>
      <c r="AJ61" s="3">
        <f>(E5b!K61-X61-(E5b!J61-W61))/(E5b!K61-E5b!J61)</f>
        <v>0.83333333333333337</v>
      </c>
      <c r="AK61" s="3">
        <f>(E5b!L61-Y61-(E5b!K61-X61))/(E5b!L61-E5b!K61)</f>
        <v>0.9</v>
      </c>
      <c r="AL61" s="3">
        <f>(E5b!M61-Z61-(E5b!L61-Y61))/(E5b!M61-E5b!L61)</f>
        <v>0.91249999999999998</v>
      </c>
    </row>
    <row r="62" spans="1:38" ht="15.75" customHeight="1" x14ac:dyDescent="0.25">
      <c r="A62" s="21">
        <v>2084</v>
      </c>
      <c r="B62" s="22">
        <f t="shared" si="5"/>
        <v>0</v>
      </c>
      <c r="C62" s="22">
        <f t="shared" si="5"/>
        <v>0</v>
      </c>
      <c r="D62" s="76">
        <f t="shared" si="5"/>
        <v>0.15</v>
      </c>
      <c r="E62" s="22">
        <f t="shared" si="5"/>
        <v>0.3</v>
      </c>
      <c r="F62" s="22">
        <f t="shared" si="5"/>
        <v>0.4</v>
      </c>
      <c r="G62" s="22">
        <f t="shared" si="5"/>
        <v>0.5</v>
      </c>
      <c r="H62" s="22">
        <f t="shared" si="5"/>
        <v>0.6</v>
      </c>
      <c r="I62" s="22">
        <f t="shared" si="5"/>
        <v>0.7</v>
      </c>
      <c r="J62" s="22">
        <f t="shared" si="5"/>
        <v>0.75</v>
      </c>
      <c r="K62" s="22">
        <f t="shared" si="5"/>
        <v>0.8</v>
      </c>
      <c r="L62" s="22">
        <f t="shared" si="5"/>
        <v>0.85</v>
      </c>
      <c r="M62" s="22">
        <f t="shared" si="5"/>
        <v>0.9</v>
      </c>
      <c r="N62" s="22"/>
      <c r="O62">
        <f>(1-B62)*E5b!B62</f>
        <v>3</v>
      </c>
      <c r="P62">
        <f>(1-C62)*E5b!C62</f>
        <v>4</v>
      </c>
      <c r="Q62">
        <f>(1-D62)*E5b!D62</f>
        <v>4.25</v>
      </c>
      <c r="R62">
        <f>(1-E62)*E5b!E62</f>
        <v>4.8999999999999995</v>
      </c>
      <c r="S62">
        <f>(1-F62)*E5b!F62</f>
        <v>6</v>
      </c>
      <c r="T62">
        <f>(1-G62)*E5b!G62</f>
        <v>10</v>
      </c>
      <c r="U62">
        <f>(1-H62)*E5b!H62</f>
        <v>20</v>
      </c>
      <c r="V62">
        <f>(1-I62)*E5b!I62</f>
        <v>30.000000000000004</v>
      </c>
      <c r="W62">
        <f>(1-J62)*E5b!J62</f>
        <v>50</v>
      </c>
      <c r="X62">
        <f>(1-K62)*E5b!K62</f>
        <v>99.999999999999972</v>
      </c>
      <c r="Y62">
        <f>(1-L62)*E5b!L62</f>
        <v>150.00000000000003</v>
      </c>
      <c r="Z62">
        <f>(1-M62)*E5b!M62</f>
        <v>499.99999999999989</v>
      </c>
      <c r="AA62">
        <v>2</v>
      </c>
      <c r="AB62" s="3">
        <f>(E5b!C62-P62-(E5b!B62-O62))/(E5b!C62-E5b!B62)</f>
        <v>0</v>
      </c>
      <c r="AC62" s="69">
        <f>(E5b!D62-Q62-(E5b!C62-P62))/(E5b!D62-E5b!C62)</f>
        <v>0.75</v>
      </c>
      <c r="AD62" s="68">
        <f>(E5b!E62-R62-(E5b!D62-Q62))/(E5b!E62-E5b!D62)</f>
        <v>0.67500000000000027</v>
      </c>
      <c r="AE62" s="68">
        <f>(E5b!F62-S62-(E5b!E62-R62))/(E5b!F62-E5b!E62)</f>
        <v>0.63333333333333319</v>
      </c>
      <c r="AF62" s="68">
        <f>(E5b!G62-T62-(E5b!F62-S62))/(E5b!G62-E5b!F62)</f>
        <v>0.6</v>
      </c>
      <c r="AG62" s="3">
        <f>(E5b!H62-U62-(E5b!G62-T62))/(E5b!H62-E5b!G62)</f>
        <v>0.66666666666666663</v>
      </c>
      <c r="AH62" s="3">
        <f>(E5b!I62-V62-(E5b!H62-U62))/(E5b!I62-E5b!H62)</f>
        <v>0.8</v>
      </c>
      <c r="AI62" s="3">
        <f>(E5b!J62-W62-(E5b!I62-V62))/(E5b!J62-E5b!I62)</f>
        <v>0.8</v>
      </c>
      <c r="AJ62" s="3">
        <f>(E5b!K62-X62-(E5b!J62-W62))/(E5b!K62-E5b!J62)</f>
        <v>0.83333333333333337</v>
      </c>
      <c r="AK62" s="3">
        <f>(E5b!L62-Y62-(E5b!K62-X62))/(E5b!L62-E5b!K62)</f>
        <v>0.9</v>
      </c>
      <c r="AL62" s="3">
        <f>(E5b!M62-Z62-(E5b!L62-Y62))/(E5b!M62-E5b!L62)</f>
        <v>0.91249999999999998</v>
      </c>
    </row>
    <row r="63" spans="1:38" ht="15.75" customHeight="1" x14ac:dyDescent="0.25">
      <c r="A63" s="21">
        <v>2085</v>
      </c>
      <c r="B63" s="22">
        <f t="shared" si="5"/>
        <v>0</v>
      </c>
      <c r="C63" s="22">
        <f t="shared" si="5"/>
        <v>0</v>
      </c>
      <c r="D63" s="76">
        <f t="shared" si="5"/>
        <v>0.15</v>
      </c>
      <c r="E63" s="22">
        <f t="shared" si="5"/>
        <v>0.3</v>
      </c>
      <c r="F63" s="22">
        <f t="shared" si="5"/>
        <v>0.4</v>
      </c>
      <c r="G63" s="22">
        <f t="shared" si="5"/>
        <v>0.5</v>
      </c>
      <c r="H63" s="22">
        <f t="shared" si="5"/>
        <v>0.6</v>
      </c>
      <c r="I63" s="22">
        <f t="shared" si="5"/>
        <v>0.7</v>
      </c>
      <c r="J63" s="22">
        <f t="shared" si="5"/>
        <v>0.75</v>
      </c>
      <c r="K63" s="22">
        <f t="shared" si="5"/>
        <v>0.8</v>
      </c>
      <c r="L63" s="22">
        <f t="shared" si="5"/>
        <v>0.85</v>
      </c>
      <c r="M63" s="22">
        <f t="shared" si="5"/>
        <v>0.9</v>
      </c>
      <c r="N63" s="22"/>
      <c r="O63">
        <f>(1-B63)*E5b!B63</f>
        <v>3</v>
      </c>
      <c r="P63">
        <f>(1-C63)*E5b!C63</f>
        <v>4</v>
      </c>
      <c r="Q63">
        <f>(1-D63)*E5b!D63</f>
        <v>4.25</v>
      </c>
      <c r="R63">
        <f>(1-E63)*E5b!E63</f>
        <v>4.8999999999999995</v>
      </c>
      <c r="S63">
        <f>(1-F63)*E5b!F63</f>
        <v>6</v>
      </c>
      <c r="T63">
        <f>(1-G63)*E5b!G63</f>
        <v>10</v>
      </c>
      <c r="U63">
        <f>(1-H63)*E5b!H63</f>
        <v>20</v>
      </c>
      <c r="V63">
        <f>(1-I63)*E5b!I63</f>
        <v>30.000000000000004</v>
      </c>
      <c r="W63">
        <f>(1-J63)*E5b!J63</f>
        <v>50</v>
      </c>
      <c r="X63">
        <f>(1-K63)*E5b!K63</f>
        <v>99.999999999999972</v>
      </c>
      <c r="Y63">
        <f>(1-L63)*E5b!L63</f>
        <v>150.00000000000003</v>
      </c>
      <c r="Z63">
        <f>(1-M63)*E5b!M63</f>
        <v>499.99999999999989</v>
      </c>
      <c r="AA63">
        <v>2</v>
      </c>
      <c r="AB63" s="3">
        <f>(E5b!C63-P63-(E5b!B63-O63))/(E5b!C63-E5b!B63)</f>
        <v>0</v>
      </c>
      <c r="AC63" s="69">
        <f>(E5b!D63-Q63-(E5b!C63-P63))/(E5b!D63-E5b!C63)</f>
        <v>0.75</v>
      </c>
      <c r="AD63" s="68">
        <f>(E5b!E63-R63-(E5b!D63-Q63))/(E5b!E63-E5b!D63)</f>
        <v>0.67500000000000027</v>
      </c>
      <c r="AE63" s="68">
        <f>(E5b!F63-S63-(E5b!E63-R63))/(E5b!F63-E5b!E63)</f>
        <v>0.63333333333333319</v>
      </c>
      <c r="AF63" s="68">
        <f>(E5b!G63-T63-(E5b!F63-S63))/(E5b!G63-E5b!F63)</f>
        <v>0.6</v>
      </c>
      <c r="AG63" s="3">
        <f>(E5b!H63-U63-(E5b!G63-T63))/(E5b!H63-E5b!G63)</f>
        <v>0.66666666666666663</v>
      </c>
      <c r="AH63" s="3">
        <f>(E5b!I63-V63-(E5b!H63-U63))/(E5b!I63-E5b!H63)</f>
        <v>0.8</v>
      </c>
      <c r="AI63" s="3">
        <f>(E5b!J63-W63-(E5b!I63-V63))/(E5b!J63-E5b!I63)</f>
        <v>0.8</v>
      </c>
      <c r="AJ63" s="3">
        <f>(E5b!K63-X63-(E5b!J63-W63))/(E5b!K63-E5b!J63)</f>
        <v>0.83333333333333337</v>
      </c>
      <c r="AK63" s="3">
        <f>(E5b!L63-Y63-(E5b!K63-X63))/(E5b!L63-E5b!K63)</f>
        <v>0.9</v>
      </c>
      <c r="AL63" s="3">
        <f>(E5b!M63-Z63-(E5b!L63-Y63))/(E5b!M63-E5b!L63)</f>
        <v>0.91249999999999998</v>
      </c>
    </row>
    <row r="64" spans="1:38" ht="15.75" customHeight="1" x14ac:dyDescent="0.25">
      <c r="A64" s="21">
        <v>2086</v>
      </c>
      <c r="B64" s="22">
        <f t="shared" si="5"/>
        <v>0</v>
      </c>
      <c r="C64" s="22">
        <f t="shared" si="5"/>
        <v>0</v>
      </c>
      <c r="D64" s="76">
        <f t="shared" si="5"/>
        <v>0.15</v>
      </c>
      <c r="E64" s="22">
        <f t="shared" si="5"/>
        <v>0.3</v>
      </c>
      <c r="F64" s="22">
        <f t="shared" si="5"/>
        <v>0.4</v>
      </c>
      <c r="G64" s="22">
        <f t="shared" si="5"/>
        <v>0.5</v>
      </c>
      <c r="H64" s="22">
        <f t="shared" si="5"/>
        <v>0.6</v>
      </c>
      <c r="I64" s="22">
        <f t="shared" si="5"/>
        <v>0.7</v>
      </c>
      <c r="J64" s="22">
        <f t="shared" si="5"/>
        <v>0.75</v>
      </c>
      <c r="K64" s="22">
        <f t="shared" si="5"/>
        <v>0.8</v>
      </c>
      <c r="L64" s="22">
        <f t="shared" si="5"/>
        <v>0.85</v>
      </c>
      <c r="M64" s="22">
        <f t="shared" si="5"/>
        <v>0.9</v>
      </c>
      <c r="N64" s="22"/>
      <c r="O64">
        <f>(1-B64)*E5b!B64</f>
        <v>3</v>
      </c>
      <c r="P64">
        <f>(1-C64)*E5b!C64</f>
        <v>4</v>
      </c>
      <c r="Q64">
        <f>(1-D64)*E5b!D64</f>
        <v>4.25</v>
      </c>
      <c r="R64">
        <f>(1-E64)*E5b!E64</f>
        <v>4.8999999999999995</v>
      </c>
      <c r="S64">
        <f>(1-F64)*E5b!F64</f>
        <v>6</v>
      </c>
      <c r="T64">
        <f>(1-G64)*E5b!G64</f>
        <v>10</v>
      </c>
      <c r="U64">
        <f>(1-H64)*E5b!H64</f>
        <v>20</v>
      </c>
      <c r="V64">
        <f>(1-I64)*E5b!I64</f>
        <v>30.000000000000004</v>
      </c>
      <c r="W64">
        <f>(1-J64)*E5b!J64</f>
        <v>50</v>
      </c>
      <c r="X64">
        <f>(1-K64)*E5b!K64</f>
        <v>99.999999999999972</v>
      </c>
      <c r="Y64">
        <f>(1-L64)*E5b!L64</f>
        <v>150.00000000000003</v>
      </c>
      <c r="Z64">
        <f>(1-M64)*E5b!M64</f>
        <v>499.99999999999989</v>
      </c>
      <c r="AA64">
        <v>2</v>
      </c>
      <c r="AB64" s="3">
        <f>(E5b!C64-P64-(E5b!B64-O64))/(E5b!C64-E5b!B64)</f>
        <v>0</v>
      </c>
      <c r="AC64" s="69">
        <f>(E5b!D64-Q64-(E5b!C64-P64))/(E5b!D64-E5b!C64)</f>
        <v>0.75</v>
      </c>
      <c r="AD64" s="68">
        <f>(E5b!E64-R64-(E5b!D64-Q64))/(E5b!E64-E5b!D64)</f>
        <v>0.67500000000000027</v>
      </c>
      <c r="AE64" s="68">
        <f>(E5b!F64-S64-(E5b!E64-R64))/(E5b!F64-E5b!E64)</f>
        <v>0.63333333333333319</v>
      </c>
      <c r="AF64" s="68">
        <f>(E5b!G64-T64-(E5b!F64-S64))/(E5b!G64-E5b!F64)</f>
        <v>0.6</v>
      </c>
      <c r="AG64" s="3">
        <f>(E5b!H64-U64-(E5b!G64-T64))/(E5b!H64-E5b!G64)</f>
        <v>0.66666666666666663</v>
      </c>
      <c r="AH64" s="3">
        <f>(E5b!I64-V64-(E5b!H64-U64))/(E5b!I64-E5b!H64)</f>
        <v>0.8</v>
      </c>
      <c r="AI64" s="3">
        <f>(E5b!J64-W64-(E5b!I64-V64))/(E5b!J64-E5b!I64)</f>
        <v>0.8</v>
      </c>
      <c r="AJ64" s="3">
        <f>(E5b!K64-X64-(E5b!J64-W64))/(E5b!K64-E5b!J64)</f>
        <v>0.83333333333333337</v>
      </c>
      <c r="AK64" s="3">
        <f>(E5b!L64-Y64-(E5b!K64-X64))/(E5b!L64-E5b!K64)</f>
        <v>0.9</v>
      </c>
      <c r="AL64" s="3">
        <f>(E5b!M64-Z64-(E5b!L64-Y64))/(E5b!M64-E5b!L64)</f>
        <v>0.91249999999999998</v>
      </c>
    </row>
    <row r="65" spans="1:38" ht="15.75" customHeight="1" x14ac:dyDescent="0.25">
      <c r="A65" s="21">
        <v>2087</v>
      </c>
      <c r="B65" s="22">
        <f t="shared" si="5"/>
        <v>0</v>
      </c>
      <c r="C65" s="22">
        <f t="shared" si="5"/>
        <v>0</v>
      </c>
      <c r="D65" s="76">
        <f t="shared" si="5"/>
        <v>0.15</v>
      </c>
      <c r="E65" s="22">
        <f t="shared" si="5"/>
        <v>0.3</v>
      </c>
      <c r="F65" s="22">
        <f t="shared" si="5"/>
        <v>0.4</v>
      </c>
      <c r="G65" s="22">
        <f t="shared" si="5"/>
        <v>0.5</v>
      </c>
      <c r="H65" s="22">
        <f t="shared" si="5"/>
        <v>0.6</v>
      </c>
      <c r="I65" s="22">
        <f t="shared" si="5"/>
        <v>0.7</v>
      </c>
      <c r="J65" s="22">
        <f t="shared" si="5"/>
        <v>0.75</v>
      </c>
      <c r="K65" s="22">
        <f t="shared" si="5"/>
        <v>0.8</v>
      </c>
      <c r="L65" s="22">
        <f t="shared" si="5"/>
        <v>0.85</v>
      </c>
      <c r="M65" s="22">
        <f t="shared" si="5"/>
        <v>0.9</v>
      </c>
      <c r="N65" s="22"/>
      <c r="O65">
        <f>(1-B65)*E5b!B65</f>
        <v>3</v>
      </c>
      <c r="P65">
        <f>(1-C65)*E5b!C65</f>
        <v>4</v>
      </c>
      <c r="Q65">
        <f>(1-D65)*E5b!D65</f>
        <v>4.25</v>
      </c>
      <c r="R65">
        <f>(1-E65)*E5b!E65</f>
        <v>4.8999999999999995</v>
      </c>
      <c r="S65">
        <f>(1-F65)*E5b!F65</f>
        <v>6</v>
      </c>
      <c r="T65">
        <f>(1-G65)*E5b!G65</f>
        <v>10</v>
      </c>
      <c r="U65">
        <f>(1-H65)*E5b!H65</f>
        <v>20</v>
      </c>
      <c r="V65">
        <f>(1-I65)*E5b!I65</f>
        <v>30.000000000000004</v>
      </c>
      <c r="W65">
        <f>(1-J65)*E5b!J65</f>
        <v>50</v>
      </c>
      <c r="X65">
        <f>(1-K65)*E5b!K65</f>
        <v>99.999999999999972</v>
      </c>
      <c r="Y65">
        <f>(1-L65)*E5b!L65</f>
        <v>150.00000000000003</v>
      </c>
      <c r="Z65">
        <f>(1-M65)*E5b!M65</f>
        <v>499.99999999999989</v>
      </c>
      <c r="AA65">
        <v>2</v>
      </c>
      <c r="AB65" s="3">
        <f>(E5b!C65-P65-(E5b!B65-O65))/(E5b!C65-E5b!B65)</f>
        <v>0</v>
      </c>
      <c r="AC65" s="69">
        <f>(E5b!D65-Q65-(E5b!C65-P65))/(E5b!D65-E5b!C65)</f>
        <v>0.75</v>
      </c>
      <c r="AD65" s="68">
        <f>(E5b!E65-R65-(E5b!D65-Q65))/(E5b!E65-E5b!D65)</f>
        <v>0.67500000000000027</v>
      </c>
      <c r="AE65" s="68">
        <f>(E5b!F65-S65-(E5b!E65-R65))/(E5b!F65-E5b!E65)</f>
        <v>0.63333333333333319</v>
      </c>
      <c r="AF65" s="68">
        <f>(E5b!G65-T65-(E5b!F65-S65))/(E5b!G65-E5b!F65)</f>
        <v>0.6</v>
      </c>
      <c r="AG65" s="3">
        <f>(E5b!H65-U65-(E5b!G65-T65))/(E5b!H65-E5b!G65)</f>
        <v>0.66666666666666663</v>
      </c>
      <c r="AH65" s="3">
        <f>(E5b!I65-V65-(E5b!H65-U65))/(E5b!I65-E5b!H65)</f>
        <v>0.8</v>
      </c>
      <c r="AI65" s="3">
        <f>(E5b!J65-W65-(E5b!I65-V65))/(E5b!J65-E5b!I65)</f>
        <v>0.8</v>
      </c>
      <c r="AJ65" s="3">
        <f>(E5b!K65-X65-(E5b!J65-W65))/(E5b!K65-E5b!J65)</f>
        <v>0.83333333333333337</v>
      </c>
      <c r="AK65" s="3">
        <f>(E5b!L65-Y65-(E5b!K65-X65))/(E5b!L65-E5b!K65)</f>
        <v>0.9</v>
      </c>
      <c r="AL65" s="3">
        <f>(E5b!M65-Z65-(E5b!L65-Y65))/(E5b!M65-E5b!L65)</f>
        <v>0.91249999999999998</v>
      </c>
    </row>
    <row r="66" spans="1:38" ht="15.75" customHeight="1" x14ac:dyDescent="0.25">
      <c r="A66" s="21">
        <v>2088</v>
      </c>
      <c r="B66" s="22">
        <f t="shared" si="5"/>
        <v>0</v>
      </c>
      <c r="C66" s="22">
        <f t="shared" si="5"/>
        <v>0</v>
      </c>
      <c r="D66" s="76">
        <f t="shared" si="5"/>
        <v>0.15</v>
      </c>
      <c r="E66" s="22">
        <f t="shared" si="5"/>
        <v>0.3</v>
      </c>
      <c r="F66" s="22">
        <f t="shared" si="5"/>
        <v>0.4</v>
      </c>
      <c r="G66" s="22">
        <f t="shared" si="5"/>
        <v>0.5</v>
      </c>
      <c r="H66" s="22">
        <f t="shared" si="5"/>
        <v>0.6</v>
      </c>
      <c r="I66" s="22">
        <f t="shared" si="5"/>
        <v>0.7</v>
      </c>
      <c r="J66" s="22">
        <f t="shared" si="5"/>
        <v>0.75</v>
      </c>
      <c r="K66" s="22">
        <f t="shared" si="5"/>
        <v>0.8</v>
      </c>
      <c r="L66" s="22">
        <f t="shared" si="5"/>
        <v>0.85</v>
      </c>
      <c r="M66" s="22">
        <f t="shared" si="5"/>
        <v>0.9</v>
      </c>
      <c r="N66" s="22"/>
      <c r="O66">
        <f>(1-B66)*E5b!B66</f>
        <v>3</v>
      </c>
      <c r="P66">
        <f>(1-C66)*E5b!C66</f>
        <v>4</v>
      </c>
      <c r="Q66">
        <f>(1-D66)*E5b!D66</f>
        <v>4.25</v>
      </c>
      <c r="R66">
        <f>(1-E66)*E5b!E66</f>
        <v>4.8999999999999995</v>
      </c>
      <c r="S66">
        <f>(1-F66)*E5b!F66</f>
        <v>6</v>
      </c>
      <c r="T66">
        <f>(1-G66)*E5b!G66</f>
        <v>10</v>
      </c>
      <c r="U66">
        <f>(1-H66)*E5b!H66</f>
        <v>20</v>
      </c>
      <c r="V66">
        <f>(1-I66)*E5b!I66</f>
        <v>30.000000000000004</v>
      </c>
      <c r="W66">
        <f>(1-J66)*E5b!J66</f>
        <v>50</v>
      </c>
      <c r="X66">
        <f>(1-K66)*E5b!K66</f>
        <v>99.999999999999972</v>
      </c>
      <c r="Y66">
        <f>(1-L66)*E5b!L66</f>
        <v>150.00000000000003</v>
      </c>
      <c r="Z66">
        <f>(1-M66)*E5b!M66</f>
        <v>499.99999999999989</v>
      </c>
      <c r="AA66">
        <v>2</v>
      </c>
      <c r="AB66" s="3">
        <f>(E5b!C66-P66-(E5b!B66-O66))/(E5b!C66-E5b!B66)</f>
        <v>0</v>
      </c>
      <c r="AC66" s="69">
        <f>(E5b!D66-Q66-(E5b!C66-P66))/(E5b!D66-E5b!C66)</f>
        <v>0.75</v>
      </c>
      <c r="AD66" s="68">
        <f>(E5b!E66-R66-(E5b!D66-Q66))/(E5b!E66-E5b!D66)</f>
        <v>0.67500000000000027</v>
      </c>
      <c r="AE66" s="68">
        <f>(E5b!F66-S66-(E5b!E66-R66))/(E5b!F66-E5b!E66)</f>
        <v>0.63333333333333319</v>
      </c>
      <c r="AF66" s="68">
        <f>(E5b!G66-T66-(E5b!F66-S66))/(E5b!G66-E5b!F66)</f>
        <v>0.6</v>
      </c>
      <c r="AG66" s="3">
        <f>(E5b!H66-U66-(E5b!G66-T66))/(E5b!H66-E5b!G66)</f>
        <v>0.66666666666666663</v>
      </c>
      <c r="AH66" s="3">
        <f>(E5b!I66-V66-(E5b!H66-U66))/(E5b!I66-E5b!H66)</f>
        <v>0.8</v>
      </c>
      <c r="AI66" s="3">
        <f>(E5b!J66-W66-(E5b!I66-V66))/(E5b!J66-E5b!I66)</f>
        <v>0.8</v>
      </c>
      <c r="AJ66" s="3">
        <f>(E5b!K66-X66-(E5b!J66-W66))/(E5b!K66-E5b!J66)</f>
        <v>0.83333333333333337</v>
      </c>
      <c r="AK66" s="3">
        <f>(E5b!L66-Y66-(E5b!K66-X66))/(E5b!L66-E5b!K66)</f>
        <v>0.9</v>
      </c>
      <c r="AL66" s="3">
        <f>(E5b!M66-Z66-(E5b!L66-Y66))/(E5b!M66-E5b!L66)</f>
        <v>0.91249999999999998</v>
      </c>
    </row>
    <row r="67" spans="1:38" ht="15.75" customHeight="1" x14ac:dyDescent="0.25">
      <c r="A67" s="21">
        <v>2089</v>
      </c>
      <c r="B67" s="22">
        <f t="shared" si="5"/>
        <v>0</v>
      </c>
      <c r="C67" s="22">
        <f t="shared" si="5"/>
        <v>0</v>
      </c>
      <c r="D67" s="76">
        <f t="shared" si="5"/>
        <v>0.15</v>
      </c>
      <c r="E67" s="22">
        <f t="shared" si="5"/>
        <v>0.3</v>
      </c>
      <c r="F67" s="22">
        <f t="shared" si="5"/>
        <v>0.4</v>
      </c>
      <c r="G67" s="22">
        <f t="shared" si="5"/>
        <v>0.5</v>
      </c>
      <c r="H67" s="22">
        <f t="shared" si="5"/>
        <v>0.6</v>
      </c>
      <c r="I67" s="22">
        <f t="shared" si="5"/>
        <v>0.7</v>
      </c>
      <c r="J67" s="22">
        <f t="shared" si="5"/>
        <v>0.75</v>
      </c>
      <c r="K67" s="22">
        <f t="shared" si="5"/>
        <v>0.8</v>
      </c>
      <c r="L67" s="22">
        <f t="shared" si="5"/>
        <v>0.85</v>
      </c>
      <c r="M67" s="22">
        <f t="shared" si="5"/>
        <v>0.9</v>
      </c>
      <c r="N67" s="22"/>
      <c r="O67">
        <f>(1-B67)*E5b!B67</f>
        <v>3</v>
      </c>
      <c r="P67">
        <f>(1-C67)*E5b!C67</f>
        <v>4</v>
      </c>
      <c r="Q67">
        <f>(1-D67)*E5b!D67</f>
        <v>4.25</v>
      </c>
      <c r="R67">
        <f>(1-E67)*E5b!E67</f>
        <v>4.8999999999999995</v>
      </c>
      <c r="S67">
        <f>(1-F67)*E5b!F67</f>
        <v>6</v>
      </c>
      <c r="T67">
        <f>(1-G67)*E5b!G67</f>
        <v>10</v>
      </c>
      <c r="U67">
        <f>(1-H67)*E5b!H67</f>
        <v>20</v>
      </c>
      <c r="V67">
        <f>(1-I67)*E5b!I67</f>
        <v>30.000000000000004</v>
      </c>
      <c r="W67">
        <f>(1-J67)*E5b!J67</f>
        <v>50</v>
      </c>
      <c r="X67">
        <f>(1-K67)*E5b!K67</f>
        <v>99.999999999999972</v>
      </c>
      <c r="Y67">
        <f>(1-L67)*E5b!L67</f>
        <v>150.00000000000003</v>
      </c>
      <c r="Z67">
        <f>(1-M67)*E5b!M67</f>
        <v>499.99999999999989</v>
      </c>
      <c r="AA67">
        <v>2</v>
      </c>
      <c r="AB67" s="3">
        <f>(E5b!C67-P67-(E5b!B67-O67))/(E5b!C67-E5b!B67)</f>
        <v>0</v>
      </c>
      <c r="AC67" s="69">
        <f>(E5b!D67-Q67-(E5b!C67-P67))/(E5b!D67-E5b!C67)</f>
        <v>0.75</v>
      </c>
      <c r="AD67" s="68">
        <f>(E5b!E67-R67-(E5b!D67-Q67))/(E5b!E67-E5b!D67)</f>
        <v>0.67500000000000027</v>
      </c>
      <c r="AE67" s="68">
        <f>(E5b!F67-S67-(E5b!E67-R67))/(E5b!F67-E5b!E67)</f>
        <v>0.63333333333333319</v>
      </c>
      <c r="AF67" s="68">
        <f>(E5b!G67-T67-(E5b!F67-S67))/(E5b!G67-E5b!F67)</f>
        <v>0.6</v>
      </c>
      <c r="AG67" s="3">
        <f>(E5b!H67-U67-(E5b!G67-T67))/(E5b!H67-E5b!G67)</f>
        <v>0.66666666666666663</v>
      </c>
      <c r="AH67" s="3">
        <f>(E5b!I67-V67-(E5b!H67-U67))/(E5b!I67-E5b!H67)</f>
        <v>0.8</v>
      </c>
      <c r="AI67" s="3">
        <f>(E5b!J67-W67-(E5b!I67-V67))/(E5b!J67-E5b!I67)</f>
        <v>0.8</v>
      </c>
      <c r="AJ67" s="3">
        <f>(E5b!K67-X67-(E5b!J67-W67))/(E5b!K67-E5b!J67)</f>
        <v>0.83333333333333337</v>
      </c>
      <c r="AK67" s="3">
        <f>(E5b!L67-Y67-(E5b!K67-X67))/(E5b!L67-E5b!K67)</f>
        <v>0.9</v>
      </c>
      <c r="AL67" s="3">
        <f>(E5b!M67-Z67-(E5b!L67-Y67))/(E5b!M67-E5b!L67)</f>
        <v>0.91249999999999998</v>
      </c>
    </row>
    <row r="68" spans="1:38" ht="15.75" customHeight="1" x14ac:dyDescent="0.25">
      <c r="A68" s="21">
        <v>2090</v>
      </c>
      <c r="B68" s="22">
        <f t="shared" si="5"/>
        <v>0</v>
      </c>
      <c r="C68" s="22">
        <f t="shared" si="5"/>
        <v>0</v>
      </c>
      <c r="D68" s="76">
        <f t="shared" si="5"/>
        <v>0.15</v>
      </c>
      <c r="E68" s="22">
        <f t="shared" si="5"/>
        <v>0.3</v>
      </c>
      <c r="F68" s="22">
        <f t="shared" si="5"/>
        <v>0.4</v>
      </c>
      <c r="G68" s="22">
        <f t="shared" si="5"/>
        <v>0.5</v>
      </c>
      <c r="H68" s="22">
        <f t="shared" si="5"/>
        <v>0.6</v>
      </c>
      <c r="I68" s="22">
        <f t="shared" si="5"/>
        <v>0.7</v>
      </c>
      <c r="J68" s="22">
        <f t="shared" si="5"/>
        <v>0.75</v>
      </c>
      <c r="K68" s="22">
        <f t="shared" si="5"/>
        <v>0.8</v>
      </c>
      <c r="L68" s="22">
        <f t="shared" si="5"/>
        <v>0.85</v>
      </c>
      <c r="M68" s="22">
        <f t="shared" si="5"/>
        <v>0.9</v>
      </c>
      <c r="N68" s="22"/>
      <c r="O68">
        <f>(1-B68)*E5b!B68</f>
        <v>3</v>
      </c>
      <c r="P68">
        <f>(1-C68)*E5b!C68</f>
        <v>4</v>
      </c>
      <c r="Q68">
        <f>(1-D68)*E5b!D68</f>
        <v>4.25</v>
      </c>
      <c r="R68">
        <f>(1-E68)*E5b!E68</f>
        <v>4.8999999999999995</v>
      </c>
      <c r="S68">
        <f>(1-F68)*E5b!F68</f>
        <v>6</v>
      </c>
      <c r="T68">
        <f>(1-G68)*E5b!G68</f>
        <v>10</v>
      </c>
      <c r="U68">
        <f>(1-H68)*E5b!H68</f>
        <v>20</v>
      </c>
      <c r="V68">
        <f>(1-I68)*E5b!I68</f>
        <v>30.000000000000004</v>
      </c>
      <c r="W68">
        <f>(1-J68)*E5b!J68</f>
        <v>50</v>
      </c>
      <c r="X68">
        <f>(1-K68)*E5b!K68</f>
        <v>99.999999999999972</v>
      </c>
      <c r="Y68">
        <f>(1-L68)*E5b!L68</f>
        <v>150.00000000000003</v>
      </c>
      <c r="Z68">
        <f>(1-M68)*E5b!M68</f>
        <v>499.99999999999989</v>
      </c>
      <c r="AA68">
        <v>2</v>
      </c>
      <c r="AB68" s="3">
        <f>(E5b!C68-P68-(E5b!B68-O68))/(E5b!C68-E5b!B68)</f>
        <v>0</v>
      </c>
      <c r="AC68" s="69">
        <f>(E5b!D68-Q68-(E5b!C68-P68))/(E5b!D68-E5b!C68)</f>
        <v>0.75</v>
      </c>
      <c r="AD68" s="68">
        <f>(E5b!E68-R68-(E5b!D68-Q68))/(E5b!E68-E5b!D68)</f>
        <v>0.67500000000000027</v>
      </c>
      <c r="AE68" s="68">
        <f>(E5b!F68-S68-(E5b!E68-R68))/(E5b!F68-E5b!E68)</f>
        <v>0.63333333333333319</v>
      </c>
      <c r="AF68" s="68">
        <f>(E5b!G68-T68-(E5b!F68-S68))/(E5b!G68-E5b!F68)</f>
        <v>0.6</v>
      </c>
      <c r="AG68" s="3">
        <f>(E5b!H68-U68-(E5b!G68-T68))/(E5b!H68-E5b!G68)</f>
        <v>0.66666666666666663</v>
      </c>
      <c r="AH68" s="3">
        <f>(E5b!I68-V68-(E5b!H68-U68))/(E5b!I68-E5b!H68)</f>
        <v>0.8</v>
      </c>
      <c r="AI68" s="3">
        <f>(E5b!J68-W68-(E5b!I68-V68))/(E5b!J68-E5b!I68)</f>
        <v>0.8</v>
      </c>
      <c r="AJ68" s="3">
        <f>(E5b!K68-X68-(E5b!J68-W68))/(E5b!K68-E5b!J68)</f>
        <v>0.83333333333333337</v>
      </c>
      <c r="AK68" s="3">
        <f>(E5b!L68-Y68-(E5b!K68-X68))/(E5b!L68-E5b!K68)</f>
        <v>0.9</v>
      </c>
      <c r="AL68" s="3">
        <f>(E5b!M68-Z68-(E5b!L68-Y68))/(E5b!M68-E5b!L68)</f>
        <v>0.91249999999999998</v>
      </c>
    </row>
    <row r="69" spans="1:38" ht="15.75" customHeight="1" x14ac:dyDescent="0.25">
      <c r="A69" s="21">
        <v>2091</v>
      </c>
      <c r="B69" s="22">
        <f t="shared" si="5"/>
        <v>0</v>
      </c>
      <c r="C69" s="22">
        <f t="shared" si="5"/>
        <v>0</v>
      </c>
      <c r="D69" s="76">
        <f t="shared" si="5"/>
        <v>0.15</v>
      </c>
      <c r="E69" s="22">
        <f t="shared" si="5"/>
        <v>0.3</v>
      </c>
      <c r="F69" s="22">
        <f t="shared" si="5"/>
        <v>0.4</v>
      </c>
      <c r="G69" s="22">
        <f t="shared" si="5"/>
        <v>0.5</v>
      </c>
      <c r="H69" s="22">
        <f t="shared" si="5"/>
        <v>0.6</v>
      </c>
      <c r="I69" s="22">
        <f t="shared" si="5"/>
        <v>0.7</v>
      </c>
      <c r="J69" s="22">
        <f t="shared" si="5"/>
        <v>0.75</v>
      </c>
      <c r="K69" s="22">
        <f t="shared" si="5"/>
        <v>0.8</v>
      </c>
      <c r="L69" s="22">
        <f t="shared" si="5"/>
        <v>0.85</v>
      </c>
      <c r="M69" s="22">
        <f t="shared" si="5"/>
        <v>0.9</v>
      </c>
      <c r="N69" s="22"/>
      <c r="O69">
        <f>(1-B69)*E5b!B69</f>
        <v>3</v>
      </c>
      <c r="P69">
        <f>(1-C69)*E5b!C69</f>
        <v>4</v>
      </c>
      <c r="Q69">
        <f>(1-D69)*E5b!D69</f>
        <v>4.25</v>
      </c>
      <c r="R69">
        <f>(1-E69)*E5b!E69</f>
        <v>4.8999999999999995</v>
      </c>
      <c r="S69">
        <f>(1-F69)*E5b!F69</f>
        <v>6</v>
      </c>
      <c r="T69">
        <f>(1-G69)*E5b!G69</f>
        <v>10</v>
      </c>
      <c r="U69">
        <f>(1-H69)*E5b!H69</f>
        <v>20</v>
      </c>
      <c r="V69">
        <f>(1-I69)*E5b!I69</f>
        <v>30.000000000000004</v>
      </c>
      <c r="W69">
        <f>(1-J69)*E5b!J69</f>
        <v>50</v>
      </c>
      <c r="X69">
        <f>(1-K69)*E5b!K69</f>
        <v>99.999999999999972</v>
      </c>
      <c r="Y69">
        <f>(1-L69)*E5b!L69</f>
        <v>150.00000000000003</v>
      </c>
      <c r="Z69">
        <f>(1-M69)*E5b!M69</f>
        <v>499.99999999999989</v>
      </c>
      <c r="AA69">
        <v>2</v>
      </c>
      <c r="AB69" s="3">
        <f>(E5b!C69-P69-(E5b!B69-O69))/(E5b!C69-E5b!B69)</f>
        <v>0</v>
      </c>
      <c r="AC69" s="69">
        <f>(E5b!D69-Q69-(E5b!C69-P69))/(E5b!D69-E5b!C69)</f>
        <v>0.75</v>
      </c>
      <c r="AD69" s="68">
        <f>(E5b!E69-R69-(E5b!D69-Q69))/(E5b!E69-E5b!D69)</f>
        <v>0.67500000000000027</v>
      </c>
      <c r="AE69" s="68">
        <f>(E5b!F69-S69-(E5b!E69-R69))/(E5b!F69-E5b!E69)</f>
        <v>0.63333333333333319</v>
      </c>
      <c r="AF69" s="68">
        <f>(E5b!G69-T69-(E5b!F69-S69))/(E5b!G69-E5b!F69)</f>
        <v>0.6</v>
      </c>
      <c r="AG69" s="3">
        <f>(E5b!H69-U69-(E5b!G69-T69))/(E5b!H69-E5b!G69)</f>
        <v>0.66666666666666663</v>
      </c>
      <c r="AH69" s="3">
        <f>(E5b!I69-V69-(E5b!H69-U69))/(E5b!I69-E5b!H69)</f>
        <v>0.8</v>
      </c>
      <c r="AI69" s="3">
        <f>(E5b!J69-W69-(E5b!I69-V69))/(E5b!J69-E5b!I69)</f>
        <v>0.8</v>
      </c>
      <c r="AJ69" s="3">
        <f>(E5b!K69-X69-(E5b!J69-W69))/(E5b!K69-E5b!J69)</f>
        <v>0.83333333333333337</v>
      </c>
      <c r="AK69" s="3">
        <f>(E5b!L69-Y69-(E5b!K69-X69))/(E5b!L69-E5b!K69)</f>
        <v>0.9</v>
      </c>
      <c r="AL69" s="3">
        <f>(E5b!M69-Z69-(E5b!L69-Y69))/(E5b!M69-E5b!L69)</f>
        <v>0.91249999999999998</v>
      </c>
    </row>
    <row r="70" spans="1:38" ht="15.75" customHeight="1" x14ac:dyDescent="0.25">
      <c r="A70" s="21">
        <v>2092</v>
      </c>
      <c r="B70" s="22">
        <f t="shared" si="5"/>
        <v>0</v>
      </c>
      <c r="C70" s="22">
        <f t="shared" si="5"/>
        <v>0</v>
      </c>
      <c r="D70" s="76">
        <f t="shared" si="5"/>
        <v>0.15</v>
      </c>
      <c r="E70" s="22">
        <f t="shared" si="5"/>
        <v>0.3</v>
      </c>
      <c r="F70" s="22">
        <f t="shared" si="5"/>
        <v>0.4</v>
      </c>
      <c r="G70" s="22">
        <f t="shared" si="5"/>
        <v>0.5</v>
      </c>
      <c r="H70" s="22">
        <f t="shared" si="5"/>
        <v>0.6</v>
      </c>
      <c r="I70" s="22">
        <f t="shared" si="5"/>
        <v>0.7</v>
      </c>
      <c r="J70" s="22">
        <f t="shared" si="5"/>
        <v>0.75</v>
      </c>
      <c r="K70" s="22">
        <f t="shared" si="5"/>
        <v>0.8</v>
      </c>
      <c r="L70" s="22">
        <f t="shared" si="5"/>
        <v>0.85</v>
      </c>
      <c r="M70" s="22">
        <f t="shared" si="5"/>
        <v>0.9</v>
      </c>
      <c r="N70" s="22"/>
      <c r="O70">
        <f>(1-B70)*E5b!B70</f>
        <v>3</v>
      </c>
      <c r="P70">
        <f>(1-C70)*E5b!C70</f>
        <v>4</v>
      </c>
      <c r="Q70">
        <f>(1-D70)*E5b!D70</f>
        <v>4.25</v>
      </c>
      <c r="R70">
        <f>(1-E70)*E5b!E70</f>
        <v>4.8999999999999995</v>
      </c>
      <c r="S70">
        <f>(1-F70)*E5b!F70</f>
        <v>6</v>
      </c>
      <c r="T70">
        <f>(1-G70)*E5b!G70</f>
        <v>10</v>
      </c>
      <c r="U70">
        <f>(1-H70)*E5b!H70</f>
        <v>20</v>
      </c>
      <c r="V70">
        <f>(1-I70)*E5b!I70</f>
        <v>30.000000000000004</v>
      </c>
      <c r="W70">
        <f>(1-J70)*E5b!J70</f>
        <v>50</v>
      </c>
      <c r="X70">
        <f>(1-K70)*E5b!K70</f>
        <v>99.999999999999972</v>
      </c>
      <c r="Y70">
        <f>(1-L70)*E5b!L70</f>
        <v>150.00000000000003</v>
      </c>
      <c r="Z70">
        <f>(1-M70)*E5b!M70</f>
        <v>499.99999999999989</v>
      </c>
      <c r="AA70">
        <v>2</v>
      </c>
      <c r="AB70" s="3">
        <f>(E5b!C70-P70-(E5b!B70-O70))/(E5b!C70-E5b!B70)</f>
        <v>0</v>
      </c>
      <c r="AC70" s="69">
        <f>(E5b!D70-Q70-(E5b!C70-P70))/(E5b!D70-E5b!C70)</f>
        <v>0.75</v>
      </c>
      <c r="AD70" s="68">
        <f>(E5b!E70-R70-(E5b!D70-Q70))/(E5b!E70-E5b!D70)</f>
        <v>0.67500000000000027</v>
      </c>
      <c r="AE70" s="68">
        <f>(E5b!F70-S70-(E5b!E70-R70))/(E5b!F70-E5b!E70)</f>
        <v>0.63333333333333319</v>
      </c>
      <c r="AF70" s="68">
        <f>(E5b!G70-T70-(E5b!F70-S70))/(E5b!G70-E5b!F70)</f>
        <v>0.6</v>
      </c>
      <c r="AG70" s="3">
        <f>(E5b!H70-U70-(E5b!G70-T70))/(E5b!H70-E5b!G70)</f>
        <v>0.66666666666666663</v>
      </c>
      <c r="AH70" s="3">
        <f>(E5b!I70-V70-(E5b!H70-U70))/(E5b!I70-E5b!H70)</f>
        <v>0.8</v>
      </c>
      <c r="AI70" s="3">
        <f>(E5b!J70-W70-(E5b!I70-V70))/(E5b!J70-E5b!I70)</f>
        <v>0.8</v>
      </c>
      <c r="AJ70" s="3">
        <f>(E5b!K70-X70-(E5b!J70-W70))/(E5b!K70-E5b!J70)</f>
        <v>0.83333333333333337</v>
      </c>
      <c r="AK70" s="3">
        <f>(E5b!L70-Y70-(E5b!K70-X70))/(E5b!L70-E5b!K70)</f>
        <v>0.9</v>
      </c>
      <c r="AL70" s="3">
        <f>(E5b!M70-Z70-(E5b!L70-Y70))/(E5b!M70-E5b!L70)</f>
        <v>0.91249999999999998</v>
      </c>
    </row>
    <row r="71" spans="1:38" ht="15.75" customHeight="1" x14ac:dyDescent="0.25">
      <c r="A71" s="21">
        <v>2093</v>
      </c>
      <c r="B71" s="22">
        <f t="shared" si="5"/>
        <v>0</v>
      </c>
      <c r="C71" s="22">
        <f t="shared" si="5"/>
        <v>0</v>
      </c>
      <c r="D71" s="76">
        <f t="shared" si="5"/>
        <v>0.15</v>
      </c>
      <c r="E71" s="22">
        <f t="shared" si="5"/>
        <v>0.3</v>
      </c>
      <c r="F71" s="22">
        <f t="shared" si="5"/>
        <v>0.4</v>
      </c>
      <c r="G71" s="22">
        <f t="shared" si="5"/>
        <v>0.5</v>
      </c>
      <c r="H71" s="22">
        <f t="shared" si="5"/>
        <v>0.6</v>
      </c>
      <c r="I71" s="22">
        <f t="shared" si="5"/>
        <v>0.7</v>
      </c>
      <c r="J71" s="22">
        <f t="shared" si="5"/>
        <v>0.75</v>
      </c>
      <c r="K71" s="22">
        <f t="shared" si="5"/>
        <v>0.8</v>
      </c>
      <c r="L71" s="22">
        <f t="shared" si="5"/>
        <v>0.85</v>
      </c>
      <c r="M71" s="22">
        <f t="shared" si="5"/>
        <v>0.9</v>
      </c>
      <c r="N71" s="22"/>
      <c r="O71">
        <f>(1-B71)*E5b!B71</f>
        <v>3</v>
      </c>
      <c r="P71">
        <f>(1-C71)*E5b!C71</f>
        <v>4</v>
      </c>
      <c r="Q71">
        <f>(1-D71)*E5b!D71</f>
        <v>4.25</v>
      </c>
      <c r="R71">
        <f>(1-E71)*E5b!E71</f>
        <v>4.8999999999999995</v>
      </c>
      <c r="S71">
        <f>(1-F71)*E5b!F71</f>
        <v>6</v>
      </c>
      <c r="T71">
        <f>(1-G71)*E5b!G71</f>
        <v>10</v>
      </c>
      <c r="U71">
        <f>(1-H71)*E5b!H71</f>
        <v>20</v>
      </c>
      <c r="V71">
        <f>(1-I71)*E5b!I71</f>
        <v>30.000000000000004</v>
      </c>
      <c r="W71">
        <f>(1-J71)*E5b!J71</f>
        <v>50</v>
      </c>
      <c r="X71">
        <f>(1-K71)*E5b!K71</f>
        <v>99.999999999999972</v>
      </c>
      <c r="Y71">
        <f>(1-L71)*E5b!L71</f>
        <v>150.00000000000003</v>
      </c>
      <c r="Z71">
        <f>(1-M71)*E5b!M71</f>
        <v>499.99999999999989</v>
      </c>
      <c r="AA71">
        <v>2</v>
      </c>
      <c r="AB71" s="3">
        <f>(E5b!C71-P71-(E5b!B71-O71))/(E5b!C71-E5b!B71)</f>
        <v>0</v>
      </c>
      <c r="AC71" s="69">
        <f>(E5b!D71-Q71-(E5b!C71-P71))/(E5b!D71-E5b!C71)</f>
        <v>0.75</v>
      </c>
      <c r="AD71" s="68">
        <f>(E5b!E71-R71-(E5b!D71-Q71))/(E5b!E71-E5b!D71)</f>
        <v>0.67500000000000027</v>
      </c>
      <c r="AE71" s="68">
        <f>(E5b!F71-S71-(E5b!E71-R71))/(E5b!F71-E5b!E71)</f>
        <v>0.63333333333333319</v>
      </c>
      <c r="AF71" s="68">
        <f>(E5b!G71-T71-(E5b!F71-S71))/(E5b!G71-E5b!F71)</f>
        <v>0.6</v>
      </c>
      <c r="AG71" s="3">
        <f>(E5b!H71-U71-(E5b!G71-T71))/(E5b!H71-E5b!G71)</f>
        <v>0.66666666666666663</v>
      </c>
      <c r="AH71" s="3">
        <f>(E5b!I71-V71-(E5b!H71-U71))/(E5b!I71-E5b!H71)</f>
        <v>0.8</v>
      </c>
      <c r="AI71" s="3">
        <f>(E5b!J71-W71-(E5b!I71-V71))/(E5b!J71-E5b!I71)</f>
        <v>0.8</v>
      </c>
      <c r="AJ71" s="3">
        <f>(E5b!K71-X71-(E5b!J71-W71))/(E5b!K71-E5b!J71)</f>
        <v>0.83333333333333337</v>
      </c>
      <c r="AK71" s="3">
        <f>(E5b!L71-Y71-(E5b!K71-X71))/(E5b!L71-E5b!K71)</f>
        <v>0.9</v>
      </c>
      <c r="AL71" s="3">
        <f>(E5b!M71-Z71-(E5b!L71-Y71))/(E5b!M71-E5b!L71)</f>
        <v>0.91249999999999998</v>
      </c>
    </row>
    <row r="72" spans="1:38" ht="15.75" customHeight="1" x14ac:dyDescent="0.25">
      <c r="A72" s="21">
        <v>2094</v>
      </c>
      <c r="B72" s="22">
        <f t="shared" si="5"/>
        <v>0</v>
      </c>
      <c r="C72" s="22">
        <f t="shared" si="5"/>
        <v>0</v>
      </c>
      <c r="D72" s="76">
        <f t="shared" si="5"/>
        <v>0.15</v>
      </c>
      <c r="E72" s="22">
        <f t="shared" si="5"/>
        <v>0.3</v>
      </c>
      <c r="F72" s="22">
        <f t="shared" si="5"/>
        <v>0.4</v>
      </c>
      <c r="G72" s="22">
        <f t="shared" si="5"/>
        <v>0.5</v>
      </c>
      <c r="H72" s="22">
        <f t="shared" si="5"/>
        <v>0.6</v>
      </c>
      <c r="I72" s="22">
        <f t="shared" si="5"/>
        <v>0.7</v>
      </c>
      <c r="J72" s="22">
        <f t="shared" si="5"/>
        <v>0.75</v>
      </c>
      <c r="K72" s="22">
        <f t="shared" si="5"/>
        <v>0.8</v>
      </c>
      <c r="L72" s="22">
        <f t="shared" si="5"/>
        <v>0.85</v>
      </c>
      <c r="M72" s="22">
        <f t="shared" si="5"/>
        <v>0.9</v>
      </c>
      <c r="N72" s="22"/>
      <c r="O72">
        <f>(1-B72)*E5b!B72</f>
        <v>3</v>
      </c>
      <c r="P72">
        <f>(1-C72)*E5b!C72</f>
        <v>4</v>
      </c>
      <c r="Q72">
        <f>(1-D72)*E5b!D72</f>
        <v>4.25</v>
      </c>
      <c r="R72">
        <f>(1-E72)*E5b!E72</f>
        <v>4.8999999999999995</v>
      </c>
      <c r="S72">
        <f>(1-F72)*E5b!F72</f>
        <v>6</v>
      </c>
      <c r="T72">
        <f>(1-G72)*E5b!G72</f>
        <v>10</v>
      </c>
      <c r="U72">
        <f>(1-H72)*E5b!H72</f>
        <v>20</v>
      </c>
      <c r="V72">
        <f>(1-I72)*E5b!I72</f>
        <v>30.000000000000004</v>
      </c>
      <c r="W72">
        <f>(1-J72)*E5b!J72</f>
        <v>50</v>
      </c>
      <c r="X72">
        <f>(1-K72)*E5b!K72</f>
        <v>99.999999999999972</v>
      </c>
      <c r="Y72">
        <f>(1-L72)*E5b!L72</f>
        <v>150.00000000000003</v>
      </c>
      <c r="Z72">
        <f>(1-M72)*E5b!M72</f>
        <v>499.99999999999989</v>
      </c>
      <c r="AA72">
        <v>2</v>
      </c>
      <c r="AB72" s="3">
        <f>(E5b!C72-P72-(E5b!B72-O72))/(E5b!C72-E5b!B72)</f>
        <v>0</v>
      </c>
      <c r="AC72" s="69">
        <f>(E5b!D72-Q72-(E5b!C72-P72))/(E5b!D72-E5b!C72)</f>
        <v>0.75</v>
      </c>
      <c r="AD72" s="68">
        <f>(E5b!E72-R72-(E5b!D72-Q72))/(E5b!E72-E5b!D72)</f>
        <v>0.67500000000000027</v>
      </c>
      <c r="AE72" s="68">
        <f>(E5b!F72-S72-(E5b!E72-R72))/(E5b!F72-E5b!E72)</f>
        <v>0.63333333333333319</v>
      </c>
      <c r="AF72" s="68">
        <f>(E5b!G72-T72-(E5b!F72-S72))/(E5b!G72-E5b!F72)</f>
        <v>0.6</v>
      </c>
      <c r="AG72" s="3">
        <f>(E5b!H72-U72-(E5b!G72-T72))/(E5b!H72-E5b!G72)</f>
        <v>0.66666666666666663</v>
      </c>
      <c r="AH72" s="3">
        <f>(E5b!I72-V72-(E5b!H72-U72))/(E5b!I72-E5b!H72)</f>
        <v>0.8</v>
      </c>
      <c r="AI72" s="3">
        <f>(E5b!J72-W72-(E5b!I72-V72))/(E5b!J72-E5b!I72)</f>
        <v>0.8</v>
      </c>
      <c r="AJ72" s="3">
        <f>(E5b!K72-X72-(E5b!J72-W72))/(E5b!K72-E5b!J72)</f>
        <v>0.83333333333333337</v>
      </c>
      <c r="AK72" s="3">
        <f>(E5b!L72-Y72-(E5b!K72-X72))/(E5b!L72-E5b!K72)</f>
        <v>0.9</v>
      </c>
      <c r="AL72" s="3">
        <f>(E5b!M72-Z72-(E5b!L72-Y72))/(E5b!M72-E5b!L72)</f>
        <v>0.91249999999999998</v>
      </c>
    </row>
    <row r="73" spans="1:38" ht="15.75" customHeight="1" x14ac:dyDescent="0.25">
      <c r="A73" s="21">
        <v>2095</v>
      </c>
      <c r="B73" s="22">
        <f t="shared" si="5"/>
        <v>0</v>
      </c>
      <c r="C73" s="22">
        <f t="shared" si="5"/>
        <v>0</v>
      </c>
      <c r="D73" s="76">
        <f t="shared" si="5"/>
        <v>0.15</v>
      </c>
      <c r="E73" s="22">
        <f t="shared" si="5"/>
        <v>0.3</v>
      </c>
      <c r="F73" s="22">
        <f t="shared" si="5"/>
        <v>0.4</v>
      </c>
      <c r="G73" s="22">
        <f t="shared" si="5"/>
        <v>0.5</v>
      </c>
      <c r="H73" s="22">
        <f t="shared" si="5"/>
        <v>0.6</v>
      </c>
      <c r="I73" s="22">
        <f t="shared" si="5"/>
        <v>0.7</v>
      </c>
      <c r="J73" s="22">
        <f t="shared" si="5"/>
        <v>0.75</v>
      </c>
      <c r="K73" s="22">
        <f t="shared" si="5"/>
        <v>0.8</v>
      </c>
      <c r="L73" s="22">
        <f t="shared" si="5"/>
        <v>0.85</v>
      </c>
      <c r="M73" s="22">
        <f t="shared" si="5"/>
        <v>0.9</v>
      </c>
      <c r="N73" s="22"/>
      <c r="O73">
        <f>(1-B73)*E5b!B73</f>
        <v>3</v>
      </c>
      <c r="P73">
        <f>(1-C73)*E5b!C73</f>
        <v>4</v>
      </c>
      <c r="Q73">
        <f>(1-D73)*E5b!D73</f>
        <v>4.25</v>
      </c>
      <c r="R73">
        <f>(1-E73)*E5b!E73</f>
        <v>4.8999999999999995</v>
      </c>
      <c r="S73">
        <f>(1-F73)*E5b!F73</f>
        <v>6</v>
      </c>
      <c r="T73">
        <f>(1-G73)*E5b!G73</f>
        <v>10</v>
      </c>
      <c r="U73">
        <f>(1-H73)*E5b!H73</f>
        <v>20</v>
      </c>
      <c r="V73">
        <f>(1-I73)*E5b!I73</f>
        <v>30.000000000000004</v>
      </c>
      <c r="W73">
        <f>(1-J73)*E5b!J73</f>
        <v>50</v>
      </c>
      <c r="X73">
        <f>(1-K73)*E5b!K73</f>
        <v>99.999999999999972</v>
      </c>
      <c r="Y73">
        <f>(1-L73)*E5b!L73</f>
        <v>150.00000000000003</v>
      </c>
      <c r="Z73">
        <f>(1-M73)*E5b!M73</f>
        <v>499.99999999999989</v>
      </c>
      <c r="AA73">
        <v>2</v>
      </c>
      <c r="AB73" s="3">
        <f>(E5b!C73-P73-(E5b!B73-O73))/(E5b!C73-E5b!B73)</f>
        <v>0</v>
      </c>
      <c r="AC73" s="69">
        <f>(E5b!D73-Q73-(E5b!C73-P73))/(E5b!D73-E5b!C73)</f>
        <v>0.75</v>
      </c>
      <c r="AD73" s="68">
        <f>(E5b!E73-R73-(E5b!D73-Q73))/(E5b!E73-E5b!D73)</f>
        <v>0.67500000000000027</v>
      </c>
      <c r="AE73" s="68">
        <f>(E5b!F73-S73-(E5b!E73-R73))/(E5b!F73-E5b!E73)</f>
        <v>0.63333333333333319</v>
      </c>
      <c r="AF73" s="68">
        <f>(E5b!G73-T73-(E5b!F73-S73))/(E5b!G73-E5b!F73)</f>
        <v>0.6</v>
      </c>
      <c r="AG73" s="3">
        <f>(E5b!H73-U73-(E5b!G73-T73))/(E5b!H73-E5b!G73)</f>
        <v>0.66666666666666663</v>
      </c>
      <c r="AH73" s="3">
        <f>(E5b!I73-V73-(E5b!H73-U73))/(E5b!I73-E5b!H73)</f>
        <v>0.8</v>
      </c>
      <c r="AI73" s="3">
        <f>(E5b!J73-W73-(E5b!I73-V73))/(E5b!J73-E5b!I73)</f>
        <v>0.8</v>
      </c>
      <c r="AJ73" s="3">
        <f>(E5b!K73-X73-(E5b!J73-W73))/(E5b!K73-E5b!J73)</f>
        <v>0.83333333333333337</v>
      </c>
      <c r="AK73" s="3">
        <f>(E5b!L73-Y73-(E5b!K73-X73))/(E5b!L73-E5b!K73)</f>
        <v>0.9</v>
      </c>
      <c r="AL73" s="3">
        <f>(E5b!M73-Z73-(E5b!L73-Y73))/(E5b!M73-E5b!L73)</f>
        <v>0.91249999999999998</v>
      </c>
    </row>
    <row r="74" spans="1:38" ht="15.75" customHeight="1" x14ac:dyDescent="0.25">
      <c r="A74" s="21">
        <v>2096</v>
      </c>
      <c r="B74" s="22">
        <f t="shared" si="5"/>
        <v>0</v>
      </c>
      <c r="C74" s="22">
        <f t="shared" si="5"/>
        <v>0</v>
      </c>
      <c r="D74" s="76">
        <f t="shared" si="5"/>
        <v>0.15</v>
      </c>
      <c r="E74" s="22">
        <f t="shared" si="5"/>
        <v>0.3</v>
      </c>
      <c r="F74" s="22">
        <f t="shared" si="5"/>
        <v>0.4</v>
      </c>
      <c r="G74" s="22">
        <f t="shared" si="5"/>
        <v>0.5</v>
      </c>
      <c r="H74" s="22">
        <f t="shared" si="5"/>
        <v>0.6</v>
      </c>
      <c r="I74" s="22">
        <f t="shared" si="5"/>
        <v>0.7</v>
      </c>
      <c r="J74" s="22">
        <f t="shared" si="5"/>
        <v>0.75</v>
      </c>
      <c r="K74" s="22">
        <f t="shared" si="5"/>
        <v>0.8</v>
      </c>
      <c r="L74" s="22">
        <f t="shared" si="5"/>
        <v>0.85</v>
      </c>
      <c r="M74" s="22">
        <f t="shared" si="5"/>
        <v>0.9</v>
      </c>
      <c r="N74" s="22"/>
      <c r="O74">
        <f>(1-B74)*E5b!B74</f>
        <v>3</v>
      </c>
      <c r="P74">
        <f>(1-C74)*E5b!C74</f>
        <v>4</v>
      </c>
      <c r="Q74">
        <f>(1-D74)*E5b!D74</f>
        <v>4.25</v>
      </c>
      <c r="R74">
        <f>(1-E74)*E5b!E74</f>
        <v>4.8999999999999995</v>
      </c>
      <c r="S74">
        <f>(1-F74)*E5b!F74</f>
        <v>6</v>
      </c>
      <c r="T74">
        <f>(1-G74)*E5b!G74</f>
        <v>10</v>
      </c>
      <c r="U74">
        <f>(1-H74)*E5b!H74</f>
        <v>20</v>
      </c>
      <c r="V74">
        <f>(1-I74)*E5b!I74</f>
        <v>30.000000000000004</v>
      </c>
      <c r="W74">
        <f>(1-J74)*E5b!J74</f>
        <v>50</v>
      </c>
      <c r="X74">
        <f>(1-K74)*E5b!K74</f>
        <v>99.999999999999972</v>
      </c>
      <c r="Y74">
        <f>(1-L74)*E5b!L74</f>
        <v>150.00000000000003</v>
      </c>
      <c r="Z74">
        <f>(1-M74)*E5b!M74</f>
        <v>499.99999999999989</v>
      </c>
      <c r="AA74">
        <v>2</v>
      </c>
      <c r="AB74" s="3">
        <f>(E5b!C74-P74-(E5b!B74-O74))/(E5b!C74-E5b!B74)</f>
        <v>0</v>
      </c>
      <c r="AC74" s="69">
        <f>(E5b!D74-Q74-(E5b!C74-P74))/(E5b!D74-E5b!C74)</f>
        <v>0.75</v>
      </c>
      <c r="AD74" s="68">
        <f>(E5b!E74-R74-(E5b!D74-Q74))/(E5b!E74-E5b!D74)</f>
        <v>0.67500000000000027</v>
      </c>
      <c r="AE74" s="68">
        <f>(E5b!F74-S74-(E5b!E74-R74))/(E5b!F74-E5b!E74)</f>
        <v>0.63333333333333319</v>
      </c>
      <c r="AF74" s="68">
        <f>(E5b!G74-T74-(E5b!F74-S74))/(E5b!G74-E5b!F74)</f>
        <v>0.6</v>
      </c>
      <c r="AG74" s="3">
        <f>(E5b!H74-U74-(E5b!G74-T74))/(E5b!H74-E5b!G74)</f>
        <v>0.66666666666666663</v>
      </c>
      <c r="AH74" s="3">
        <f>(E5b!I74-V74-(E5b!H74-U74))/(E5b!I74-E5b!H74)</f>
        <v>0.8</v>
      </c>
      <c r="AI74" s="3">
        <f>(E5b!J74-W74-(E5b!I74-V74))/(E5b!J74-E5b!I74)</f>
        <v>0.8</v>
      </c>
      <c r="AJ74" s="3">
        <f>(E5b!K74-X74-(E5b!J74-W74))/(E5b!K74-E5b!J74)</f>
        <v>0.83333333333333337</v>
      </c>
      <c r="AK74" s="3">
        <f>(E5b!L74-Y74-(E5b!K74-X74))/(E5b!L74-E5b!K74)</f>
        <v>0.9</v>
      </c>
      <c r="AL74" s="3">
        <f>(E5b!M74-Z74-(E5b!L74-Y74))/(E5b!M74-E5b!L74)</f>
        <v>0.91249999999999998</v>
      </c>
    </row>
    <row r="75" spans="1:38" ht="15.75" customHeight="1" x14ac:dyDescent="0.25">
      <c r="A75" s="21">
        <v>2097</v>
      </c>
      <c r="B75" s="22">
        <f t="shared" ref="B75:M77" si="6">B74+(B$78-B$58)/20</f>
        <v>0</v>
      </c>
      <c r="C75" s="22">
        <f t="shared" si="6"/>
        <v>0</v>
      </c>
      <c r="D75" s="76">
        <f t="shared" si="6"/>
        <v>0.15</v>
      </c>
      <c r="E75" s="22">
        <f t="shared" si="6"/>
        <v>0.3</v>
      </c>
      <c r="F75" s="22">
        <f t="shared" si="6"/>
        <v>0.4</v>
      </c>
      <c r="G75" s="22">
        <f t="shared" si="6"/>
        <v>0.5</v>
      </c>
      <c r="H75" s="22">
        <f t="shared" si="6"/>
        <v>0.6</v>
      </c>
      <c r="I75" s="22">
        <f t="shared" si="6"/>
        <v>0.7</v>
      </c>
      <c r="J75" s="22">
        <f t="shared" si="6"/>
        <v>0.75</v>
      </c>
      <c r="K75" s="22">
        <f t="shared" si="6"/>
        <v>0.8</v>
      </c>
      <c r="L75" s="22">
        <f t="shared" si="6"/>
        <v>0.85</v>
      </c>
      <c r="M75" s="22">
        <f t="shared" si="6"/>
        <v>0.9</v>
      </c>
      <c r="N75" s="22"/>
      <c r="O75">
        <f>(1-B75)*E5b!B75</f>
        <v>3</v>
      </c>
      <c r="P75">
        <f>(1-C75)*E5b!C75</f>
        <v>4</v>
      </c>
      <c r="Q75">
        <f>(1-D75)*E5b!D75</f>
        <v>4.25</v>
      </c>
      <c r="R75">
        <f>(1-E75)*E5b!E75</f>
        <v>4.8999999999999995</v>
      </c>
      <c r="S75">
        <f>(1-F75)*E5b!F75</f>
        <v>6</v>
      </c>
      <c r="T75">
        <f>(1-G75)*E5b!G75</f>
        <v>10</v>
      </c>
      <c r="U75">
        <f>(1-H75)*E5b!H75</f>
        <v>20</v>
      </c>
      <c r="V75">
        <f>(1-I75)*E5b!I75</f>
        <v>30.000000000000004</v>
      </c>
      <c r="W75">
        <f>(1-J75)*E5b!J75</f>
        <v>50</v>
      </c>
      <c r="X75">
        <f>(1-K75)*E5b!K75</f>
        <v>99.999999999999972</v>
      </c>
      <c r="Y75">
        <f>(1-L75)*E5b!L75</f>
        <v>150.00000000000003</v>
      </c>
      <c r="Z75">
        <f>(1-M75)*E5b!M75</f>
        <v>499.99999999999989</v>
      </c>
      <c r="AA75">
        <v>2</v>
      </c>
      <c r="AB75" s="3">
        <f>(E5b!C75-P75-(E5b!B75-O75))/(E5b!C75-E5b!B75)</f>
        <v>0</v>
      </c>
      <c r="AC75" s="69">
        <f>(E5b!D75-Q75-(E5b!C75-P75))/(E5b!D75-E5b!C75)</f>
        <v>0.75</v>
      </c>
      <c r="AD75" s="68">
        <f>(E5b!E75-R75-(E5b!D75-Q75))/(E5b!E75-E5b!D75)</f>
        <v>0.67500000000000027</v>
      </c>
      <c r="AE75" s="68">
        <f>(E5b!F75-S75-(E5b!E75-R75))/(E5b!F75-E5b!E75)</f>
        <v>0.63333333333333319</v>
      </c>
      <c r="AF75" s="68">
        <f>(E5b!G75-T75-(E5b!F75-S75))/(E5b!G75-E5b!F75)</f>
        <v>0.6</v>
      </c>
      <c r="AG75" s="3">
        <f>(E5b!H75-U75-(E5b!G75-T75))/(E5b!H75-E5b!G75)</f>
        <v>0.66666666666666663</v>
      </c>
      <c r="AH75" s="3">
        <f>(E5b!I75-V75-(E5b!H75-U75))/(E5b!I75-E5b!H75)</f>
        <v>0.8</v>
      </c>
      <c r="AI75" s="3">
        <f>(E5b!J75-W75-(E5b!I75-V75))/(E5b!J75-E5b!I75)</f>
        <v>0.8</v>
      </c>
      <c r="AJ75" s="3">
        <f>(E5b!K75-X75-(E5b!J75-W75))/(E5b!K75-E5b!J75)</f>
        <v>0.83333333333333337</v>
      </c>
      <c r="AK75" s="3">
        <f>(E5b!L75-Y75-(E5b!K75-X75))/(E5b!L75-E5b!K75)</f>
        <v>0.9</v>
      </c>
      <c r="AL75" s="3">
        <f>(E5b!M75-Z75-(E5b!L75-Y75))/(E5b!M75-E5b!L75)</f>
        <v>0.91249999999999998</v>
      </c>
    </row>
    <row r="76" spans="1:38" ht="15.75" customHeight="1" x14ac:dyDescent="0.25">
      <c r="A76" s="21">
        <v>2098</v>
      </c>
      <c r="B76" s="22">
        <f t="shared" si="6"/>
        <v>0</v>
      </c>
      <c r="C76" s="22">
        <f t="shared" si="6"/>
        <v>0</v>
      </c>
      <c r="D76" s="76">
        <f t="shared" si="6"/>
        <v>0.15</v>
      </c>
      <c r="E76" s="22">
        <f t="shared" si="6"/>
        <v>0.3</v>
      </c>
      <c r="F76" s="22">
        <f t="shared" si="6"/>
        <v>0.4</v>
      </c>
      <c r="G76" s="22">
        <f t="shared" si="6"/>
        <v>0.5</v>
      </c>
      <c r="H76" s="22">
        <f t="shared" si="6"/>
        <v>0.6</v>
      </c>
      <c r="I76" s="22">
        <f t="shared" si="6"/>
        <v>0.7</v>
      </c>
      <c r="J76" s="22">
        <f t="shared" si="6"/>
        <v>0.75</v>
      </c>
      <c r="K76" s="22">
        <f t="shared" si="6"/>
        <v>0.8</v>
      </c>
      <c r="L76" s="22">
        <f t="shared" si="6"/>
        <v>0.85</v>
      </c>
      <c r="M76" s="22">
        <f t="shared" si="6"/>
        <v>0.9</v>
      </c>
      <c r="N76" s="22"/>
      <c r="O76">
        <f>(1-B76)*E5b!B76</f>
        <v>3</v>
      </c>
      <c r="P76">
        <f>(1-C76)*E5b!C76</f>
        <v>4</v>
      </c>
      <c r="Q76">
        <f>(1-D76)*E5b!D76</f>
        <v>4.25</v>
      </c>
      <c r="R76">
        <f>(1-E76)*E5b!E76</f>
        <v>4.8999999999999995</v>
      </c>
      <c r="S76">
        <f>(1-F76)*E5b!F76</f>
        <v>6</v>
      </c>
      <c r="T76">
        <f>(1-G76)*E5b!G76</f>
        <v>10</v>
      </c>
      <c r="U76">
        <f>(1-H76)*E5b!H76</f>
        <v>20</v>
      </c>
      <c r="V76">
        <f>(1-I76)*E5b!I76</f>
        <v>30.000000000000004</v>
      </c>
      <c r="W76">
        <f>(1-J76)*E5b!J76</f>
        <v>50</v>
      </c>
      <c r="X76">
        <f>(1-K76)*E5b!K76</f>
        <v>99.999999999999972</v>
      </c>
      <c r="Y76">
        <f>(1-L76)*E5b!L76</f>
        <v>150.00000000000003</v>
      </c>
      <c r="Z76">
        <f>(1-M76)*E5b!M76</f>
        <v>499.99999999999989</v>
      </c>
      <c r="AA76">
        <v>2</v>
      </c>
      <c r="AB76" s="3">
        <f>(E5b!C76-P76-(E5b!B76-O76))/(E5b!C76-E5b!B76)</f>
        <v>0</v>
      </c>
      <c r="AC76" s="69">
        <f>(E5b!D76-Q76-(E5b!C76-P76))/(E5b!D76-E5b!C76)</f>
        <v>0.75</v>
      </c>
      <c r="AD76" s="68">
        <f>(E5b!E76-R76-(E5b!D76-Q76))/(E5b!E76-E5b!D76)</f>
        <v>0.67500000000000027</v>
      </c>
      <c r="AE76" s="68">
        <f>(E5b!F76-S76-(E5b!E76-R76))/(E5b!F76-E5b!E76)</f>
        <v>0.63333333333333319</v>
      </c>
      <c r="AF76" s="68">
        <f>(E5b!G76-T76-(E5b!F76-S76))/(E5b!G76-E5b!F76)</f>
        <v>0.6</v>
      </c>
      <c r="AG76" s="3">
        <f>(E5b!H76-U76-(E5b!G76-T76))/(E5b!H76-E5b!G76)</f>
        <v>0.66666666666666663</v>
      </c>
      <c r="AH76" s="3">
        <f>(E5b!I76-V76-(E5b!H76-U76))/(E5b!I76-E5b!H76)</f>
        <v>0.8</v>
      </c>
      <c r="AI76" s="3">
        <f>(E5b!J76-W76-(E5b!I76-V76))/(E5b!J76-E5b!I76)</f>
        <v>0.8</v>
      </c>
      <c r="AJ76" s="3">
        <f>(E5b!K76-X76-(E5b!J76-W76))/(E5b!K76-E5b!J76)</f>
        <v>0.83333333333333337</v>
      </c>
      <c r="AK76" s="3">
        <f>(E5b!L76-Y76-(E5b!K76-X76))/(E5b!L76-E5b!K76)</f>
        <v>0.9</v>
      </c>
      <c r="AL76" s="3">
        <f>(E5b!M76-Z76-(E5b!L76-Y76))/(E5b!M76-E5b!L76)</f>
        <v>0.91249999999999998</v>
      </c>
    </row>
    <row r="77" spans="1:38" ht="15.75" customHeight="1" x14ac:dyDescent="0.25">
      <c r="A77" s="21">
        <v>2099</v>
      </c>
      <c r="B77" s="22">
        <f t="shared" si="6"/>
        <v>0</v>
      </c>
      <c r="C77" s="22">
        <f t="shared" si="6"/>
        <v>0</v>
      </c>
      <c r="D77" s="76">
        <f t="shared" si="6"/>
        <v>0.15</v>
      </c>
      <c r="E77" s="22">
        <f t="shared" si="6"/>
        <v>0.3</v>
      </c>
      <c r="F77" s="22">
        <f t="shared" si="6"/>
        <v>0.4</v>
      </c>
      <c r="G77" s="22">
        <f t="shared" si="6"/>
        <v>0.5</v>
      </c>
      <c r="H77" s="22">
        <f t="shared" si="6"/>
        <v>0.6</v>
      </c>
      <c r="I77" s="22">
        <f t="shared" si="6"/>
        <v>0.7</v>
      </c>
      <c r="J77" s="22">
        <f t="shared" si="6"/>
        <v>0.75</v>
      </c>
      <c r="K77" s="22">
        <f t="shared" si="6"/>
        <v>0.8</v>
      </c>
      <c r="L77" s="22">
        <f t="shared" si="6"/>
        <v>0.85</v>
      </c>
      <c r="M77" s="22">
        <f t="shared" si="6"/>
        <v>0.9</v>
      </c>
      <c r="N77" s="22"/>
      <c r="O77">
        <f>(1-B77)*E5b!B77</f>
        <v>3</v>
      </c>
      <c r="P77">
        <f>(1-C77)*E5b!C77</f>
        <v>4</v>
      </c>
      <c r="Q77">
        <f>(1-D77)*E5b!D77</f>
        <v>4.25</v>
      </c>
      <c r="R77">
        <f>(1-E77)*E5b!E77</f>
        <v>4.8999999999999995</v>
      </c>
      <c r="S77">
        <f>(1-F77)*E5b!F77</f>
        <v>6</v>
      </c>
      <c r="T77">
        <f>(1-G77)*E5b!G77</f>
        <v>10</v>
      </c>
      <c r="U77">
        <f>(1-H77)*E5b!H77</f>
        <v>20</v>
      </c>
      <c r="V77">
        <f>(1-I77)*E5b!I77</f>
        <v>30.000000000000004</v>
      </c>
      <c r="W77">
        <f>(1-J77)*E5b!J77</f>
        <v>50</v>
      </c>
      <c r="X77">
        <f>(1-K77)*E5b!K77</f>
        <v>99.999999999999972</v>
      </c>
      <c r="Y77">
        <f>(1-L77)*E5b!L77</f>
        <v>150.00000000000003</v>
      </c>
      <c r="Z77">
        <f>(1-M77)*E5b!M77</f>
        <v>499.99999999999989</v>
      </c>
      <c r="AA77">
        <v>2</v>
      </c>
      <c r="AB77" s="3">
        <f>(E5b!C77-P77-(E5b!B77-O77))/(E5b!C77-E5b!B77)</f>
        <v>0</v>
      </c>
      <c r="AC77" s="69">
        <f>(E5b!D77-Q77-(E5b!C77-P77))/(E5b!D77-E5b!C77)</f>
        <v>0.75</v>
      </c>
      <c r="AD77" s="68">
        <f>(E5b!E77-R77-(E5b!D77-Q77))/(E5b!E77-E5b!D77)</f>
        <v>0.67500000000000027</v>
      </c>
      <c r="AE77" s="68">
        <f>(E5b!F77-S77-(E5b!E77-R77))/(E5b!F77-E5b!E77)</f>
        <v>0.63333333333333319</v>
      </c>
      <c r="AF77" s="68">
        <f>(E5b!G77-T77-(E5b!F77-S77))/(E5b!G77-E5b!F77)</f>
        <v>0.6</v>
      </c>
      <c r="AG77" s="3">
        <f>(E5b!H77-U77-(E5b!G77-T77))/(E5b!H77-E5b!G77)</f>
        <v>0.66666666666666663</v>
      </c>
      <c r="AH77" s="3">
        <f>(E5b!I77-V77-(E5b!H77-U77))/(E5b!I77-E5b!H77)</f>
        <v>0.8</v>
      </c>
      <c r="AI77" s="3">
        <f>(E5b!J77-W77-(E5b!I77-V77))/(E5b!J77-E5b!I77)</f>
        <v>0.8</v>
      </c>
      <c r="AJ77" s="3">
        <f>(E5b!K77-X77-(E5b!J77-W77))/(E5b!K77-E5b!J77)</f>
        <v>0.83333333333333337</v>
      </c>
      <c r="AK77" s="3">
        <f>(E5b!L77-Y77-(E5b!K77-X77))/(E5b!L77-E5b!K77)</f>
        <v>0.9</v>
      </c>
      <c r="AL77" s="3">
        <f>(E5b!M77-Z77-(E5b!L77-Y77))/(E5b!M77-E5b!L77)</f>
        <v>0.91249999999999998</v>
      </c>
    </row>
    <row r="78" spans="1:38" ht="15.75" customHeight="1" x14ac:dyDescent="0.25">
      <c r="A78" s="21">
        <v>2100</v>
      </c>
      <c r="B78" s="30">
        <v>0</v>
      </c>
      <c r="C78" s="30">
        <v>0</v>
      </c>
      <c r="D78" s="77">
        <v>0.15</v>
      </c>
      <c r="E78" s="30">
        <v>0.3</v>
      </c>
      <c r="F78" s="30">
        <v>0.4</v>
      </c>
      <c r="G78" s="30">
        <v>0.5</v>
      </c>
      <c r="H78" s="30">
        <v>0.6</v>
      </c>
      <c r="I78" s="30">
        <v>0.7</v>
      </c>
      <c r="J78" s="30">
        <v>0.75</v>
      </c>
      <c r="K78" s="30">
        <v>0.8</v>
      </c>
      <c r="L78" s="30">
        <v>0.85</v>
      </c>
      <c r="M78" s="30">
        <v>0.9</v>
      </c>
      <c r="N78" s="30"/>
      <c r="O78">
        <f>(1-B78)*E5b!B78</f>
        <v>3</v>
      </c>
      <c r="P78">
        <f>(1-C78)*E5b!C78</f>
        <v>4</v>
      </c>
      <c r="Q78">
        <f>(1-D78)*E5b!D78</f>
        <v>4.25</v>
      </c>
      <c r="R78">
        <f>(1-E78)*E5b!E78</f>
        <v>4.8999999999999995</v>
      </c>
      <c r="S78">
        <f>(1-F78)*E5b!F78</f>
        <v>6</v>
      </c>
      <c r="T78">
        <f>(1-G78)*E5b!G78</f>
        <v>10</v>
      </c>
      <c r="U78">
        <f>(1-H78)*E5b!H78</f>
        <v>20</v>
      </c>
      <c r="V78">
        <f>(1-I78)*E5b!I78</f>
        <v>30.000000000000004</v>
      </c>
      <c r="W78">
        <f>(1-J78)*E5b!J78</f>
        <v>50</v>
      </c>
      <c r="X78">
        <f>(1-K78)*E5b!K78</f>
        <v>99.999999999999972</v>
      </c>
      <c r="Y78">
        <f>(1-L78)*E5b!L78</f>
        <v>150.00000000000003</v>
      </c>
      <c r="Z78">
        <f>(1-M78)*E5b!M78</f>
        <v>499.99999999999989</v>
      </c>
      <c r="AA78">
        <v>2</v>
      </c>
      <c r="AB78" s="3">
        <f>(E5b!C78-P78-(E5b!B78-O78))/(E5b!C78-E5b!B78)</f>
        <v>0</v>
      </c>
      <c r="AC78" s="69">
        <f>(E5b!D78-Q78-(E5b!C78-P78))/(E5b!D78-E5b!C78)</f>
        <v>0.75</v>
      </c>
      <c r="AD78" s="68">
        <f>(E5b!E78-R78-(E5b!D78-Q78))/(E5b!E78-E5b!D78)</f>
        <v>0.67500000000000027</v>
      </c>
      <c r="AE78" s="68">
        <f>(E5b!F78-S78-(E5b!E78-R78))/(E5b!F78-E5b!E78)</f>
        <v>0.63333333333333319</v>
      </c>
      <c r="AF78" s="68">
        <f>(E5b!G78-T78-(E5b!F78-S78))/(E5b!G78-E5b!F78)</f>
        <v>0.6</v>
      </c>
      <c r="AG78" s="3">
        <f>(E5b!H78-U78-(E5b!G78-T78))/(E5b!H78-E5b!G78)</f>
        <v>0.66666666666666663</v>
      </c>
      <c r="AH78" s="3">
        <f>(E5b!I78-V78-(E5b!H78-U78))/(E5b!I78-E5b!H78)</f>
        <v>0.8</v>
      </c>
      <c r="AI78" s="3">
        <f>(E5b!J78-W78-(E5b!I78-V78))/(E5b!J78-E5b!I78)</f>
        <v>0.8</v>
      </c>
      <c r="AJ78" s="3">
        <f>(E5b!K78-X78-(E5b!J78-W78))/(E5b!K78-E5b!J78)</f>
        <v>0.83333333333333337</v>
      </c>
      <c r="AK78" s="3">
        <f>(E5b!L78-Y78-(E5b!K78-X78))/(E5b!L78-E5b!K78)</f>
        <v>0.9</v>
      </c>
      <c r="AL78" s="3">
        <f>(E5b!M78-Z78-(E5b!L78-Y78))/(E5b!M78-E5b!L78)</f>
        <v>0.91249999999999998</v>
      </c>
    </row>
    <row r="79" spans="1:38" ht="15.75" customHeight="1" x14ac:dyDescent="0.25">
      <c r="D79" s="3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1F955"/>
  </sheetPr>
  <dimension ref="A1:AN78"/>
  <sheetViews>
    <sheetView workbookViewId="0">
      <pane xSplit="1" ySplit="3" topLeftCell="B24" activePane="bottomRight" state="frozen"/>
      <selection activeCell="C4" sqref="C4"/>
      <selection pane="topRight" activeCell="C4" sqref="C4"/>
      <selection pane="bottomLeft" activeCell="C4" sqref="C4"/>
      <selection pane="bottomRight" activeCell="AC34" sqref="AC34"/>
    </sheetView>
  </sheetViews>
  <sheetFormatPr baseColWidth="10" defaultColWidth="11.42578125" defaultRowHeight="15" x14ac:dyDescent="0.25"/>
  <cols>
    <col min="1" max="1" width="15" customWidth="1"/>
    <col min="2" max="2" width="12.7109375" customWidth="1"/>
  </cols>
  <sheetData>
    <row r="1" spans="1:40" ht="15.75" customHeight="1" x14ac:dyDescent="0.25">
      <c r="A1" s="1" t="s">
        <v>31</v>
      </c>
      <c r="B1" s="1"/>
      <c r="C1" s="1"/>
      <c r="D1" s="1"/>
      <c r="E1" s="1"/>
      <c r="F1" s="1"/>
      <c r="G1" s="1"/>
      <c r="H1" s="1"/>
      <c r="I1" s="1"/>
      <c r="J1" s="1"/>
      <c r="K1" s="1"/>
      <c r="L1" s="1"/>
      <c r="M1" s="1"/>
      <c r="N1" s="1"/>
      <c r="O1" s="1" t="s">
        <v>32</v>
      </c>
      <c r="P1" s="1"/>
      <c r="AB1" t="s">
        <v>33</v>
      </c>
    </row>
    <row r="2" spans="1:40" ht="15.75" customHeight="1" x14ac:dyDescent="0.25">
      <c r="A2" s="1"/>
      <c r="B2" s="1"/>
      <c r="C2" s="1"/>
      <c r="D2" s="1"/>
      <c r="E2" s="1"/>
      <c r="F2" s="1"/>
      <c r="G2" s="1"/>
      <c r="H2" s="1"/>
      <c r="I2" s="1"/>
      <c r="J2" s="1"/>
      <c r="K2" s="1"/>
      <c r="L2" s="1"/>
      <c r="M2" s="1"/>
      <c r="N2" s="1"/>
      <c r="O2" s="1"/>
      <c r="P2" s="1"/>
      <c r="AA2" t="s">
        <v>34</v>
      </c>
    </row>
    <row r="3" spans="1:40" ht="15.75" customHeight="1" x14ac:dyDescent="0.25">
      <c r="A3" s="21" t="s">
        <v>18</v>
      </c>
      <c r="B3" s="21" t="s">
        <v>35</v>
      </c>
      <c r="C3" s="21" t="s">
        <v>36</v>
      </c>
      <c r="D3" s="21" t="s">
        <v>37</v>
      </c>
      <c r="E3" s="21" t="s">
        <v>38</v>
      </c>
      <c r="F3" s="21" t="s">
        <v>39</v>
      </c>
      <c r="G3" s="21" t="s">
        <v>40</v>
      </c>
      <c r="H3" s="21" t="s">
        <v>41</v>
      </c>
      <c r="I3" s="21" t="s">
        <v>42</v>
      </c>
      <c r="J3" s="21" t="s">
        <v>43</v>
      </c>
      <c r="K3" s="21" t="s">
        <v>44</v>
      </c>
      <c r="L3" s="21" t="s">
        <v>45</v>
      </c>
      <c r="M3" s="21" t="s">
        <v>46</v>
      </c>
      <c r="N3" s="1"/>
      <c r="O3" s="21"/>
      <c r="P3" s="1"/>
    </row>
    <row r="4" spans="1:40" ht="15.75" customHeight="1" x14ac:dyDescent="0.25">
      <c r="A4" s="21">
        <v>2026</v>
      </c>
      <c r="B4" s="26">
        <f>TE4f!$C7</f>
        <v>0</v>
      </c>
      <c r="C4" s="26">
        <f>TE4f!$C8</f>
        <v>0</v>
      </c>
      <c r="D4" s="26">
        <f>TE4f!$C9</f>
        <v>0</v>
      </c>
      <c r="E4" s="26">
        <f>TE4f!$C10</f>
        <v>2E-3</v>
      </c>
      <c r="F4" s="26">
        <f>TE4f!$C11</f>
        <v>5.0000000000000001E-3</v>
      </c>
      <c r="G4" s="26">
        <f>TE4f!$C12</f>
        <v>0.01</v>
      </c>
      <c r="H4" s="26">
        <f>TE4f!$C13</f>
        <v>0.03</v>
      </c>
      <c r="I4" s="26">
        <f>TE4f!$C14</f>
        <v>0.05</v>
      </c>
      <c r="J4" s="26">
        <f>TE4f!$C15</f>
        <v>0.08</v>
      </c>
      <c r="K4" s="26">
        <f>TE4f!$C16</f>
        <v>0.1</v>
      </c>
      <c r="L4" s="26">
        <f>TE4f!$C17</f>
        <v>0.15</v>
      </c>
      <c r="M4" s="26">
        <f>TE4f!$C18</f>
        <v>0.2</v>
      </c>
      <c r="N4" s="1"/>
      <c r="O4">
        <f>(1-B4)*E4b!B4</f>
        <v>5</v>
      </c>
      <c r="P4">
        <f>(1-C4)*E4b!C4</f>
        <v>8</v>
      </c>
      <c r="Q4">
        <f>(1-D4)*E4b!D4</f>
        <v>10</v>
      </c>
      <c r="R4">
        <f>(1-E4)*E4b!E4</f>
        <v>11.975999999999999</v>
      </c>
      <c r="S4">
        <f>(1-F4)*E4b!F4</f>
        <v>14.925000000000001</v>
      </c>
      <c r="T4">
        <f>(1-G4)*E4b!G4</f>
        <v>19.8</v>
      </c>
      <c r="U4">
        <f>(1-H4)*E4b!H4</f>
        <v>48.5</v>
      </c>
      <c r="V4">
        <f>(1-I4)*E4b!I4</f>
        <v>95</v>
      </c>
      <c r="W4">
        <f>(1-J4)*E4b!J4</f>
        <v>184</v>
      </c>
      <c r="X4">
        <f>(1-K4)*E4b!K4</f>
        <v>450</v>
      </c>
      <c r="Y4">
        <f>(1-L4)*E4b!L4</f>
        <v>850</v>
      </c>
      <c r="Z4">
        <f>(1-M4)*E4b!M4</f>
        <v>4000</v>
      </c>
      <c r="AA4">
        <v>0</v>
      </c>
      <c r="AB4" s="3">
        <f>(E4b!C4-P4-(E4b!B4-O4))/(E4b!C4-E4b!B4)</f>
        <v>0</v>
      </c>
      <c r="AC4" s="3">
        <f>(E4b!D4-Q4-(E4b!C4-P4))/(E4b!D4-E4b!C4)</f>
        <v>0</v>
      </c>
      <c r="AD4" s="3">
        <f>(E4b!E4-R4-(E4b!D4-Q4))/(E4b!E4-E4b!D4)</f>
        <v>1.2000000000000455E-2</v>
      </c>
      <c r="AE4" s="3">
        <f>(E4b!F4-S4-(E4b!E4-R4))/(E4b!F4-E4b!E4)</f>
        <v>1.699999999999946E-2</v>
      </c>
      <c r="AF4" s="3">
        <f>(E4b!G4-T4-(E4b!F4-S4))/(E4b!G4-E4b!F4)</f>
        <v>2.5000000000000001E-2</v>
      </c>
      <c r="AG4" s="3">
        <f>(E4b!H4-U4-(E4b!G4-T4))/(E4b!H4-E4b!G4)</f>
        <v>4.3333333333333356E-2</v>
      </c>
      <c r="AH4" s="3">
        <f>(E4b!I4-V4-(E4b!H4-U4))/(E4b!I4-E4b!H4)</f>
        <v>7.0000000000000007E-2</v>
      </c>
      <c r="AI4" s="3">
        <f>(E4b!J4-W4-(E4b!I4-V4))/(E4b!J4-E4b!I4)</f>
        <v>0.11</v>
      </c>
      <c r="AJ4" s="3">
        <f>(E4b!K4-X4-(E4b!J4-W4))/(E4b!K4-E4b!J4)</f>
        <v>0.11333333333333333</v>
      </c>
      <c r="AK4" s="3">
        <f>(E4b!L4-Y4-(E4b!K4-X4))/(E4b!L4-E4b!K4)</f>
        <v>0.2</v>
      </c>
      <c r="AL4" s="3">
        <f>(E4b!M4-Z4-(E4b!L4-Y4))/(E4b!M4-E4b!L4)</f>
        <v>0.21249999999999999</v>
      </c>
      <c r="AM4" s="3">
        <f>(E4b!N4-AA4-(E4b!M4-Z4))/(E4b!N4-E4b!M4)</f>
        <v>0.2</v>
      </c>
      <c r="AN4" s="3"/>
    </row>
    <row r="5" spans="1:40" ht="15.75" customHeight="1" x14ac:dyDescent="0.25">
      <c r="A5" s="21">
        <v>2027</v>
      </c>
      <c r="B5" s="27">
        <f t="shared" ref="B5:M12" si="0">B4+(B$13-B$4)/9</f>
        <v>0</v>
      </c>
      <c r="C5" s="27">
        <f t="shared" si="0"/>
        <v>0</v>
      </c>
      <c r="D5" s="27">
        <f t="shared" si="0"/>
        <v>0</v>
      </c>
      <c r="E5" s="27">
        <f t="shared" si="0"/>
        <v>2.8888888888888888E-3</v>
      </c>
      <c r="F5" s="27">
        <f t="shared" si="0"/>
        <v>6.6666666666666662E-3</v>
      </c>
      <c r="G5" s="27">
        <f t="shared" si="0"/>
        <v>1.2222222222222221E-2</v>
      </c>
      <c r="H5" s="27">
        <f t="shared" si="0"/>
        <v>3.111111111111111E-2</v>
      </c>
      <c r="I5" s="27">
        <f t="shared" si="0"/>
        <v>5.1111111111111114E-2</v>
      </c>
      <c r="J5" s="27">
        <f t="shared" si="0"/>
        <v>8.1111111111111106E-2</v>
      </c>
      <c r="K5" s="27">
        <f t="shared" si="0"/>
        <v>0.1</v>
      </c>
      <c r="L5" s="27">
        <f t="shared" si="0"/>
        <v>0.15</v>
      </c>
      <c r="M5" s="27">
        <f t="shared" si="0"/>
        <v>0.2</v>
      </c>
      <c r="N5" s="1"/>
      <c r="O5">
        <f>(1-B5)*E4b!B5</f>
        <v>5</v>
      </c>
      <c r="P5">
        <f>(1-C5)*E4b!C5</f>
        <v>8</v>
      </c>
      <c r="Q5">
        <f>(1-D5)*E4b!D5</f>
        <v>10</v>
      </c>
      <c r="R5">
        <f>(1-E5)*E4b!E5</f>
        <v>11.965333333333334</v>
      </c>
      <c r="S5">
        <f>(1-F5)*E4b!F5</f>
        <v>14.899999999999999</v>
      </c>
      <c r="T5" s="70">
        <f>(1-G5)*E4b!G5</f>
        <v>19.755555555555556</v>
      </c>
      <c r="U5" s="70">
        <f>(1-H5)*E4b!H5</f>
        <v>48.444444444444443</v>
      </c>
      <c r="V5" s="70">
        <f>(1-I5)*E4b!I5</f>
        <v>94.888888888888886</v>
      </c>
      <c r="W5" s="70">
        <f>(1-J5)*E4b!J5</f>
        <v>183.77777777777777</v>
      </c>
      <c r="X5" s="70">
        <f>(1-K5)*E4b!K5</f>
        <v>450</v>
      </c>
      <c r="Y5">
        <f>(1-L5)*E4b!L5</f>
        <v>850</v>
      </c>
      <c r="Z5">
        <f>(1-M5)*E4b!M5</f>
        <v>4000</v>
      </c>
      <c r="AA5">
        <v>0</v>
      </c>
      <c r="AB5" s="3">
        <f>(E4b!C5-P5-(E4b!B5-O5))/(E4b!C5-E4b!B5)</f>
        <v>0</v>
      </c>
      <c r="AC5" s="3">
        <f>(E4b!D5-Q5-(E4b!C5-P5))/(E4b!D5-E4b!C5)</f>
        <v>0</v>
      </c>
      <c r="AD5" s="3">
        <f>(E4b!E5-R5-(E4b!D5-Q5))/(E4b!E5-E4b!D5)</f>
        <v>1.7333333333333201E-2</v>
      </c>
      <c r="AE5" s="3">
        <f>(E4b!F5-S5-(E4b!E5-R5))/(E4b!F5-E4b!E5)</f>
        <v>2.177777777777834E-2</v>
      </c>
      <c r="AF5" s="3">
        <f>(E4b!G5-T5-(E4b!F5-S5))/(E4b!G5-E4b!F5)</f>
        <v>2.888888888888843E-2</v>
      </c>
      <c r="AG5" s="3">
        <f>(E4b!H5-U5-(E4b!G5-T5))/(E4b!H5-E4b!G5)</f>
        <v>4.3703703703703786E-2</v>
      </c>
      <c r="AH5" s="3">
        <f>(E4b!I5-V5-(E4b!H5-U5))/(E4b!I5-E4b!H5)</f>
        <v>7.1111111111111139E-2</v>
      </c>
      <c r="AI5" s="3">
        <f>(E4b!J5-W5-(E4b!I5-V5))/(E4b!J5-E4b!I5)</f>
        <v>0.11111111111111115</v>
      </c>
      <c r="AJ5" s="3">
        <f>(E4b!K5-X5-(E4b!J5-W5))/(E4b!K5-E4b!J5)</f>
        <v>0.11259259259259258</v>
      </c>
      <c r="AK5" s="3">
        <f>(E4b!L5-Y5-(E4b!K5-X5))/(E4b!L5-E4b!K5)</f>
        <v>0.2</v>
      </c>
      <c r="AL5" s="3">
        <f>(E4b!M5-Z5-(E4b!L5-Y5))/(E4b!M5-E4b!L5)</f>
        <v>0.21249999999999999</v>
      </c>
      <c r="AM5" s="3">
        <f>(E4b!N5-AA5-(E4b!M5-Z5))/(E4b!N5-E4b!M5)</f>
        <v>0.2</v>
      </c>
    </row>
    <row r="6" spans="1:40" ht="15.75" customHeight="1" x14ac:dyDescent="0.25">
      <c r="A6" s="21">
        <v>2028</v>
      </c>
      <c r="B6" s="27">
        <f t="shared" si="0"/>
        <v>0</v>
      </c>
      <c r="C6" s="27">
        <f t="shared" si="0"/>
        <v>0</v>
      </c>
      <c r="D6" s="27">
        <f t="shared" si="0"/>
        <v>0</v>
      </c>
      <c r="E6" s="27">
        <f t="shared" si="0"/>
        <v>3.7777777777777775E-3</v>
      </c>
      <c r="F6" s="27">
        <f t="shared" si="0"/>
        <v>8.3333333333333332E-3</v>
      </c>
      <c r="G6" s="27">
        <f t="shared" si="0"/>
        <v>1.4444444444444444E-2</v>
      </c>
      <c r="H6" s="27">
        <f t="shared" si="0"/>
        <v>3.2222222222222222E-2</v>
      </c>
      <c r="I6" s="27">
        <f t="shared" si="0"/>
        <v>5.2222222222222225E-2</v>
      </c>
      <c r="J6" s="27">
        <f t="shared" si="0"/>
        <v>8.222222222222221E-2</v>
      </c>
      <c r="K6" s="27">
        <f t="shared" si="0"/>
        <v>0.1</v>
      </c>
      <c r="L6" s="27">
        <f t="shared" si="0"/>
        <v>0.15</v>
      </c>
      <c r="M6" s="27">
        <f t="shared" si="0"/>
        <v>0.2</v>
      </c>
      <c r="N6" s="1"/>
      <c r="O6">
        <f>(1-B6)*E4b!B6</f>
        <v>5</v>
      </c>
      <c r="P6">
        <f>(1-C6)*E4b!C6</f>
        <v>8</v>
      </c>
      <c r="Q6">
        <f>(1-D6)*E4b!D6</f>
        <v>10</v>
      </c>
      <c r="R6">
        <f>(1-E6)*E4b!E6</f>
        <v>11.954666666666666</v>
      </c>
      <c r="S6">
        <f>(1-F6)*E4b!F6</f>
        <v>14.875</v>
      </c>
      <c r="T6" s="70">
        <f>(1-G6)*E4b!G6</f>
        <v>19.711111111111109</v>
      </c>
      <c r="U6" s="70">
        <f>(1-H6)*E4b!H6</f>
        <v>48.388888888888886</v>
      </c>
      <c r="V6" s="70">
        <f>(1-I6)*E4b!I6</f>
        <v>94.777777777777786</v>
      </c>
      <c r="W6" s="70">
        <f>(1-J6)*E4b!J6</f>
        <v>183.55555555555557</v>
      </c>
      <c r="X6" s="70">
        <f>(1-K6)*E4b!K6</f>
        <v>450</v>
      </c>
      <c r="Y6">
        <f>(1-L6)*E4b!L6</f>
        <v>850</v>
      </c>
      <c r="Z6">
        <f>(1-M6)*E4b!M6</f>
        <v>4000</v>
      </c>
      <c r="AA6">
        <v>0</v>
      </c>
      <c r="AB6" s="3">
        <f>(E4b!C6-P6-(E4b!B6-O6))/(E4b!C6-E4b!B6)</f>
        <v>0</v>
      </c>
      <c r="AC6" s="3">
        <f>(E4b!D6-Q6-(E4b!C6-P6))/(E4b!D6-E4b!C6)</f>
        <v>0</v>
      </c>
      <c r="AD6" s="3">
        <f>(E4b!E6-R6-(E4b!D6-Q6))/(E4b!E6-E4b!D6)</f>
        <v>2.2666666666666835E-2</v>
      </c>
      <c r="AE6" s="3">
        <f>(E4b!F6-S6-(E4b!E6-R6))/(E4b!F6-E4b!E6)</f>
        <v>2.6555555555555443E-2</v>
      </c>
      <c r="AF6" s="3">
        <f>(E4b!G6-T6-(E4b!F6-S6))/(E4b!G6-E4b!F6)</f>
        <v>3.277777777777828E-2</v>
      </c>
      <c r="AG6" s="3">
        <f>(E4b!H6-U6-(E4b!G6-T6))/(E4b!H6-E4b!G6)</f>
        <v>4.4074074074074092E-2</v>
      </c>
      <c r="AH6" s="3">
        <f>(E4b!I6-V6-(E4b!H6-U6))/(E4b!I6-E4b!H6)</f>
        <v>7.2222222222222007E-2</v>
      </c>
      <c r="AI6" s="3">
        <f>(E4b!J6-W6-(E4b!I6-V6))/(E4b!J6-E4b!I6)</f>
        <v>0.11222222222222214</v>
      </c>
      <c r="AJ6" s="3">
        <f>(E4b!K6-X6-(E4b!J6-W6))/(E4b!K6-E4b!J6)</f>
        <v>0.11185185185185191</v>
      </c>
      <c r="AK6" s="3">
        <f>(E4b!L6-Y6-(E4b!K6-X6))/(E4b!L6-E4b!K6)</f>
        <v>0.2</v>
      </c>
      <c r="AL6" s="3">
        <f>(E4b!M6-Z6-(E4b!L6-Y6))/(E4b!M6-E4b!L6)</f>
        <v>0.21249999999999999</v>
      </c>
      <c r="AM6" s="3">
        <f>(E4b!N6-AA6-(E4b!M6-Z6))/(E4b!N6-E4b!M6)</f>
        <v>0.2</v>
      </c>
    </row>
    <row r="7" spans="1:40" ht="15.75" customHeight="1" x14ac:dyDescent="0.25">
      <c r="A7" s="21">
        <v>2029</v>
      </c>
      <c r="B7" s="27">
        <f t="shared" si="0"/>
        <v>0</v>
      </c>
      <c r="C7" s="27">
        <f t="shared" si="0"/>
        <v>0</v>
      </c>
      <c r="D7" s="27">
        <f t="shared" si="0"/>
        <v>0</v>
      </c>
      <c r="E7" s="27">
        <f t="shared" si="0"/>
        <v>4.6666666666666662E-3</v>
      </c>
      <c r="F7" s="27">
        <f t="shared" si="0"/>
        <v>0.01</v>
      </c>
      <c r="G7" s="27">
        <f t="shared" si="0"/>
        <v>1.6666666666666666E-2</v>
      </c>
      <c r="H7" s="27">
        <f t="shared" si="0"/>
        <v>3.3333333333333333E-2</v>
      </c>
      <c r="I7" s="27">
        <f t="shared" si="0"/>
        <v>5.3333333333333337E-2</v>
      </c>
      <c r="J7" s="27">
        <f t="shared" si="0"/>
        <v>8.3333333333333315E-2</v>
      </c>
      <c r="K7" s="27">
        <f t="shared" si="0"/>
        <v>0.1</v>
      </c>
      <c r="L7" s="27">
        <f t="shared" si="0"/>
        <v>0.15</v>
      </c>
      <c r="M7" s="27">
        <f t="shared" si="0"/>
        <v>0.2</v>
      </c>
      <c r="N7" s="1"/>
      <c r="O7">
        <f>(1-B7)*E4b!B7</f>
        <v>5</v>
      </c>
      <c r="P7">
        <f>(1-C7)*E4b!C7</f>
        <v>8</v>
      </c>
      <c r="Q7">
        <f>(1-D7)*E4b!D7</f>
        <v>10</v>
      </c>
      <c r="R7">
        <f>(1-E7)*E4b!E7</f>
        <v>11.943999999999999</v>
      </c>
      <c r="S7">
        <f>(1-F7)*E4b!F7</f>
        <v>14.85</v>
      </c>
      <c r="T7" s="70">
        <f>(1-G7)*E4b!G7</f>
        <v>19.666666666666664</v>
      </c>
      <c r="U7" s="70">
        <f>(1-H7)*E4b!H7</f>
        <v>48.333333333333336</v>
      </c>
      <c r="V7" s="70">
        <f>(1-I7)*E4b!I7</f>
        <v>94.666666666666671</v>
      </c>
      <c r="W7" s="70">
        <f>(1-J7)*E4b!J7</f>
        <v>183.33333333333334</v>
      </c>
      <c r="X7" s="70">
        <f>(1-K7)*E4b!K7</f>
        <v>450</v>
      </c>
      <c r="Y7">
        <f>(1-L7)*E4b!L7</f>
        <v>850</v>
      </c>
      <c r="Z7">
        <f>(1-M7)*E4b!M7</f>
        <v>4000</v>
      </c>
      <c r="AA7">
        <v>0</v>
      </c>
      <c r="AB7" s="3">
        <f>(E4b!C7-P7-(E4b!B7-O7))/(E4b!C7-E4b!B7)</f>
        <v>0</v>
      </c>
      <c r="AC7" s="3">
        <f>(E4b!D7-Q7-(E4b!C7-P7))/(E4b!D7-E4b!C7)</f>
        <v>0</v>
      </c>
      <c r="AD7" s="3">
        <f>(E4b!E7-R7-(E4b!D7-Q7))/(E4b!E7-E4b!D7)</f>
        <v>2.8000000000000469E-2</v>
      </c>
      <c r="AE7" s="3">
        <f>(E4b!F7-S7-(E4b!E7-R7))/(E4b!F7-E4b!E7)</f>
        <v>3.1333333333333137E-2</v>
      </c>
      <c r="AF7" s="3">
        <f>(E4b!G7-T7-(E4b!F7-S7))/(E4b!G7-E4b!F7)</f>
        <v>3.6666666666667069E-2</v>
      </c>
      <c r="AG7" s="3">
        <f>(E4b!H7-U7-(E4b!G7-T7))/(E4b!H7-E4b!G7)</f>
        <v>4.4444444444444287E-2</v>
      </c>
      <c r="AH7" s="3">
        <f>(E4b!I7-V7-(E4b!H7-U7))/(E4b!I7-E4b!H7)</f>
        <v>7.3333333333333292E-2</v>
      </c>
      <c r="AI7" s="3">
        <f>(E4b!J7-W7-(E4b!I7-V7))/(E4b!J7-E4b!I7)</f>
        <v>0.11333333333333329</v>
      </c>
      <c r="AJ7" s="3">
        <f>(E4b!K7-X7-(E4b!J7-W7))/(E4b!K7-E4b!J7)</f>
        <v>0.11111111111111115</v>
      </c>
      <c r="AK7" s="3">
        <f>(E4b!L7-Y7-(E4b!K7-X7))/(E4b!L7-E4b!K7)</f>
        <v>0.2</v>
      </c>
      <c r="AL7" s="3">
        <f>(E4b!M7-Z7-(E4b!L7-Y7))/(E4b!M7-E4b!L7)</f>
        <v>0.21249999999999999</v>
      </c>
      <c r="AM7" s="3">
        <f>(E4b!N7-AA7-(E4b!M7-Z7))/(E4b!N7-E4b!M7)</f>
        <v>0.2</v>
      </c>
    </row>
    <row r="8" spans="1:40" ht="15.75" customHeight="1" x14ac:dyDescent="0.25">
      <c r="A8" s="21">
        <v>2030</v>
      </c>
      <c r="B8" s="27">
        <f t="shared" si="0"/>
        <v>0</v>
      </c>
      <c r="C8" s="27">
        <f t="shared" si="0"/>
        <v>0</v>
      </c>
      <c r="D8" s="27">
        <f t="shared" si="0"/>
        <v>0</v>
      </c>
      <c r="E8" s="27">
        <f t="shared" si="0"/>
        <v>5.5555555555555549E-3</v>
      </c>
      <c r="F8" s="27">
        <f t="shared" si="0"/>
        <v>1.1666666666666667E-2</v>
      </c>
      <c r="G8" s="27">
        <f t="shared" si="0"/>
        <v>1.8888888888888889E-2</v>
      </c>
      <c r="H8" s="27">
        <f t="shared" si="0"/>
        <v>3.4444444444444444E-2</v>
      </c>
      <c r="I8" s="27">
        <f t="shared" si="0"/>
        <v>5.4444444444444448E-2</v>
      </c>
      <c r="J8" s="27">
        <f t="shared" si="0"/>
        <v>8.4444444444444419E-2</v>
      </c>
      <c r="K8" s="27">
        <f t="shared" si="0"/>
        <v>0.1</v>
      </c>
      <c r="L8" s="27">
        <f t="shared" si="0"/>
        <v>0.15</v>
      </c>
      <c r="M8" s="27">
        <f t="shared" si="0"/>
        <v>0.2</v>
      </c>
      <c r="N8" s="1"/>
      <c r="O8">
        <f>(1-B8)*E4b!B8</f>
        <v>5</v>
      </c>
      <c r="P8">
        <f>(1-C8)*E4b!C8</f>
        <v>8</v>
      </c>
      <c r="Q8">
        <f>(1-D8)*E4b!D8</f>
        <v>10</v>
      </c>
      <c r="R8">
        <f>(1-E8)*E4b!E8</f>
        <v>11.933333333333334</v>
      </c>
      <c r="S8">
        <f>(1-F8)*E4b!F8</f>
        <v>14.824999999999999</v>
      </c>
      <c r="T8" s="70">
        <f>(1-G8)*E4b!G8</f>
        <v>19.622222222222224</v>
      </c>
      <c r="U8" s="70">
        <f>(1-H8)*E4b!H8</f>
        <v>48.277777777777771</v>
      </c>
      <c r="V8" s="70">
        <f>(1-I8)*E4b!I8</f>
        <v>94.555555555555557</v>
      </c>
      <c r="W8" s="70">
        <f>(1-J8)*E4b!J8</f>
        <v>183.11111111111111</v>
      </c>
      <c r="X8" s="70">
        <f>(1-K8)*E4b!K8</f>
        <v>450</v>
      </c>
      <c r="Y8">
        <f>(1-L8)*E4b!L8</f>
        <v>850</v>
      </c>
      <c r="Z8">
        <f>(1-M8)*E4b!M8</f>
        <v>4000</v>
      </c>
      <c r="AA8">
        <v>0</v>
      </c>
      <c r="AB8" s="3">
        <f>(E4b!C8-P8-(E4b!B8-O8))/(E4b!C8-E4b!B8)</f>
        <v>0</v>
      </c>
      <c r="AC8" s="3">
        <f>(E4b!D8-Q8-(E4b!C8-P8))/(E4b!D8-E4b!C8)</f>
        <v>0</v>
      </c>
      <c r="AD8" s="3">
        <f>(E4b!E8-R8-(E4b!D8-Q8))/(E4b!E8-E4b!D8)</f>
        <v>3.3333333333333215E-2</v>
      </c>
      <c r="AE8" s="3">
        <f>(E4b!F8-S8-(E4b!E8-R8))/(E4b!F8-E4b!E8)</f>
        <v>3.6111111111111427E-2</v>
      </c>
      <c r="AF8" s="3">
        <f>(E4b!G8-T8-(E4b!F8-S8))/(E4b!G8-E4b!F8)</f>
        <v>4.0555555555555144E-2</v>
      </c>
      <c r="AG8" s="3">
        <f>(E4b!H8-U8-(E4b!G8-T8))/(E4b!H8-E4b!G8)</f>
        <v>4.4814814814815071E-2</v>
      </c>
      <c r="AH8" s="3">
        <f>(E4b!I8-V8-(E4b!H8-U8))/(E4b!I8-E4b!H8)</f>
        <v>7.4444444444444285E-2</v>
      </c>
      <c r="AI8" s="3">
        <f>(E4b!J8-W8-(E4b!I8-V8))/(E4b!J8-E4b!I8)</f>
        <v>0.11444444444444443</v>
      </c>
      <c r="AJ8" s="3">
        <f>(E4b!K8-X8-(E4b!J8-W8))/(E4b!K8-E4b!J8)</f>
        <v>0.11037037037037038</v>
      </c>
      <c r="AK8" s="3">
        <f>(E4b!L8-Y8-(E4b!K8-X8))/(E4b!L8-E4b!K8)</f>
        <v>0.2</v>
      </c>
      <c r="AL8" s="3">
        <f>(E4b!M8-Z8-(E4b!L8-Y8))/(E4b!M8-E4b!L8)</f>
        <v>0.21249999999999999</v>
      </c>
      <c r="AM8" s="3">
        <f>(E4b!N8-AA8-(E4b!M8-Z8))/(E4b!N8-E4b!M8)</f>
        <v>0.2</v>
      </c>
    </row>
    <row r="9" spans="1:40" ht="15.75" customHeight="1" x14ac:dyDescent="0.25">
      <c r="A9" s="21">
        <v>2031</v>
      </c>
      <c r="B9" s="27">
        <f t="shared" si="0"/>
        <v>0</v>
      </c>
      <c r="C9" s="27">
        <f t="shared" si="0"/>
        <v>0</v>
      </c>
      <c r="D9" s="27">
        <f t="shared" si="0"/>
        <v>0</v>
      </c>
      <c r="E9" s="27">
        <f t="shared" si="0"/>
        <v>6.4444444444444436E-3</v>
      </c>
      <c r="F9" s="27">
        <f t="shared" si="0"/>
        <v>1.3333333333333334E-2</v>
      </c>
      <c r="G9" s="27">
        <f t="shared" si="0"/>
        <v>2.1111111111111112E-2</v>
      </c>
      <c r="H9" s="27">
        <f t="shared" si="0"/>
        <v>3.5555555555555556E-2</v>
      </c>
      <c r="I9" s="27">
        <f t="shared" si="0"/>
        <v>5.5555555555555559E-2</v>
      </c>
      <c r="J9" s="27">
        <f t="shared" si="0"/>
        <v>8.5555555555555524E-2</v>
      </c>
      <c r="K9" s="27">
        <f t="shared" si="0"/>
        <v>0.1</v>
      </c>
      <c r="L9" s="27">
        <f t="shared" si="0"/>
        <v>0.15</v>
      </c>
      <c r="M9" s="27">
        <f t="shared" si="0"/>
        <v>0.2</v>
      </c>
      <c r="N9" s="1"/>
      <c r="O9">
        <f>(1-B9)*E4b!B9</f>
        <v>5</v>
      </c>
      <c r="P9">
        <f>(1-C9)*E4b!C9</f>
        <v>8</v>
      </c>
      <c r="Q9">
        <f>(1-D9)*E4b!D9</f>
        <v>10</v>
      </c>
      <c r="R9">
        <f>(1-E9)*E4b!E9</f>
        <v>11.922666666666666</v>
      </c>
      <c r="S9">
        <f>(1-F9)*E4b!F9</f>
        <v>14.8</v>
      </c>
      <c r="T9" s="70">
        <f>(1-G9)*E4b!G9</f>
        <v>19.577777777777779</v>
      </c>
      <c r="U9" s="70">
        <f>(1-H9)*E4b!H9</f>
        <v>48.222222222222221</v>
      </c>
      <c r="V9" s="70">
        <f>(1-I9)*E4b!I9</f>
        <v>94.444444444444443</v>
      </c>
      <c r="W9" s="70">
        <f>(1-J9)*E4b!J9</f>
        <v>182.88888888888891</v>
      </c>
      <c r="X9" s="70">
        <f>(1-K9)*E4b!K9</f>
        <v>450</v>
      </c>
      <c r="Y9">
        <f>(1-L9)*E4b!L9</f>
        <v>850</v>
      </c>
      <c r="Z9">
        <f>(1-M9)*E4b!M9</f>
        <v>4000</v>
      </c>
      <c r="AA9">
        <v>0</v>
      </c>
      <c r="AB9" s="3">
        <f>(E4b!C9-P9-(E4b!B9-O9))/(E4b!C9-E4b!B9)</f>
        <v>0</v>
      </c>
      <c r="AC9" s="3">
        <f>(E4b!D9-Q9-(E4b!C9-P9))/(E4b!D9-E4b!C9)</f>
        <v>0</v>
      </c>
      <c r="AD9" s="3">
        <f>(E4b!E9-R9-(E4b!D9-Q9))/(E4b!E9-E4b!D9)</f>
        <v>3.8666666666666849E-2</v>
      </c>
      <c r="AE9" s="3">
        <f>(E4b!F9-S9-(E4b!E9-R9))/(E4b!F9-E4b!E9)</f>
        <v>4.088888888888853E-2</v>
      </c>
      <c r="AF9" s="3">
        <f>(E4b!G9-T9-(E4b!F9-S9))/(E4b!G9-E4b!F9)</f>
        <v>4.4444444444444287E-2</v>
      </c>
      <c r="AG9" s="3">
        <f>(E4b!H9-U9-(E4b!G9-T9))/(E4b!H9-E4b!G9)</f>
        <v>4.5185185185185259E-2</v>
      </c>
      <c r="AH9" s="3">
        <f>(E4b!I9-V9-(E4b!H9-U9))/(E4b!I9-E4b!H9)</f>
        <v>7.555555555555557E-2</v>
      </c>
      <c r="AI9" s="3">
        <f>(E4b!J9-W9-(E4b!I9-V9))/(E4b!J9-E4b!I9)</f>
        <v>0.11555555555555529</v>
      </c>
      <c r="AJ9" s="3">
        <f>(E4b!K9-X9-(E4b!J9-W9))/(E4b!K9-E4b!J9)</f>
        <v>0.10962962962962972</v>
      </c>
      <c r="AK9" s="3">
        <f>(E4b!L9-Y9-(E4b!K9-X9))/(E4b!L9-E4b!K9)</f>
        <v>0.2</v>
      </c>
      <c r="AL9" s="3">
        <f>(E4b!M9-Z9-(E4b!L9-Y9))/(E4b!M9-E4b!L9)</f>
        <v>0.21249999999999999</v>
      </c>
      <c r="AM9" s="3">
        <f>(E4b!N9-AA9-(E4b!M9-Z9))/(E4b!N9-E4b!M9)</f>
        <v>0.2</v>
      </c>
    </row>
    <row r="10" spans="1:40" ht="15.75" customHeight="1" x14ac:dyDescent="0.25">
      <c r="A10" s="21">
        <v>2032</v>
      </c>
      <c r="B10" s="27">
        <f t="shared" si="0"/>
        <v>0</v>
      </c>
      <c r="C10" s="27">
        <f t="shared" si="0"/>
        <v>0</v>
      </c>
      <c r="D10" s="27">
        <f t="shared" si="0"/>
        <v>0</v>
      </c>
      <c r="E10" s="27">
        <f t="shared" si="0"/>
        <v>7.3333333333333323E-3</v>
      </c>
      <c r="F10" s="27">
        <f t="shared" si="0"/>
        <v>1.5000000000000001E-2</v>
      </c>
      <c r="G10" s="27">
        <f t="shared" si="0"/>
        <v>2.3333333333333334E-2</v>
      </c>
      <c r="H10" s="27">
        <f t="shared" si="0"/>
        <v>3.6666666666666667E-2</v>
      </c>
      <c r="I10" s="27">
        <f t="shared" si="0"/>
        <v>5.6666666666666671E-2</v>
      </c>
      <c r="J10" s="27">
        <f t="shared" si="0"/>
        <v>8.6666666666666628E-2</v>
      </c>
      <c r="K10" s="27">
        <f t="shared" si="0"/>
        <v>0.1</v>
      </c>
      <c r="L10" s="27">
        <f t="shared" si="0"/>
        <v>0.15</v>
      </c>
      <c r="M10" s="27">
        <f t="shared" si="0"/>
        <v>0.2</v>
      </c>
      <c r="N10" s="1"/>
      <c r="O10">
        <f>(1-B10)*E4b!B10</f>
        <v>5</v>
      </c>
      <c r="P10">
        <f>(1-C10)*E4b!C10</f>
        <v>8</v>
      </c>
      <c r="Q10">
        <f>(1-D10)*E4b!D10</f>
        <v>10</v>
      </c>
      <c r="R10">
        <f>(1-E10)*E4b!E10</f>
        <v>11.912000000000001</v>
      </c>
      <c r="S10">
        <f>(1-F10)*E4b!F10</f>
        <v>14.775</v>
      </c>
      <c r="T10" s="70">
        <f>(1-G10)*E4b!G10</f>
        <v>19.533333333333335</v>
      </c>
      <c r="U10" s="70">
        <f>(1-H10)*E4b!H10</f>
        <v>48.166666666666671</v>
      </c>
      <c r="V10" s="70">
        <f>(1-I10)*E4b!I10</f>
        <v>94.333333333333343</v>
      </c>
      <c r="W10" s="70">
        <f>(1-J10)*E4b!J10</f>
        <v>182.66666666666666</v>
      </c>
      <c r="X10" s="70">
        <f>(1-K10)*E4b!K10</f>
        <v>450</v>
      </c>
      <c r="Y10">
        <f>(1-L10)*E4b!L10</f>
        <v>850</v>
      </c>
      <c r="Z10">
        <f>(1-M10)*E4b!M10</f>
        <v>4000</v>
      </c>
      <c r="AA10">
        <v>0</v>
      </c>
      <c r="AB10" s="3">
        <f>(E4b!C10-P10-(E4b!B10-O10))/(E4b!C10-E4b!B10)</f>
        <v>0</v>
      </c>
      <c r="AC10" s="3">
        <f>(E4b!D10-Q10-(E4b!C10-P10))/(E4b!D10-E4b!C10)</f>
        <v>0</v>
      </c>
      <c r="AD10" s="3">
        <f>(E4b!E10-R10-(E4b!D10-Q10))/(E4b!E10-E4b!D10)</f>
        <v>4.3999999999999595E-2</v>
      </c>
      <c r="AE10" s="3">
        <f>(E4b!F10-S10-(E4b!E10-R10))/(E4b!F10-E4b!E10)</f>
        <v>4.5666666666666821E-2</v>
      </c>
      <c r="AF10" s="3">
        <f>(E4b!G10-T10-(E4b!F10-S10))/(E4b!G10-E4b!F10)</f>
        <v>4.8333333333333076E-2</v>
      </c>
      <c r="AG10" s="3">
        <f>(E4b!H10-U10-(E4b!G10-T10))/(E4b!H10-E4b!G10)</f>
        <v>4.5555555555555453E-2</v>
      </c>
      <c r="AH10" s="3">
        <f>(E4b!I10-V10-(E4b!H10-U10))/(E4b!I10-E4b!H10)</f>
        <v>7.6666666666666577E-2</v>
      </c>
      <c r="AI10" s="3">
        <f>(E4b!J10-W10-(E4b!I10-V10))/(E4b!J10-E4b!I10)</f>
        <v>0.11666666666666686</v>
      </c>
      <c r="AJ10" s="3">
        <f>(E4b!K10-X10-(E4b!J10-W10))/(E4b!K10-E4b!J10)</f>
        <v>0.10888888888888885</v>
      </c>
      <c r="AK10" s="3">
        <f>(E4b!L10-Y10-(E4b!K10-X10))/(E4b!L10-E4b!K10)</f>
        <v>0.2</v>
      </c>
      <c r="AL10" s="3">
        <f>(E4b!M10-Z10-(E4b!L10-Y10))/(E4b!M10-E4b!L10)</f>
        <v>0.21249999999999999</v>
      </c>
      <c r="AM10" s="3">
        <f>(E4b!N10-AA10-(E4b!M10-Z10))/(E4b!N10-E4b!M10)</f>
        <v>0.2</v>
      </c>
    </row>
    <row r="11" spans="1:40" ht="15.75" customHeight="1" x14ac:dyDescent="0.25">
      <c r="A11" s="21">
        <v>2033</v>
      </c>
      <c r="B11" s="27">
        <f t="shared" si="0"/>
        <v>0</v>
      </c>
      <c r="C11" s="27">
        <f t="shared" si="0"/>
        <v>0</v>
      </c>
      <c r="D11" s="27">
        <f t="shared" si="0"/>
        <v>0</v>
      </c>
      <c r="E11" s="27">
        <f t="shared" si="0"/>
        <v>8.222222222222221E-3</v>
      </c>
      <c r="F11" s="27">
        <f t="shared" si="0"/>
        <v>1.6666666666666666E-2</v>
      </c>
      <c r="G11" s="27">
        <f t="shared" si="0"/>
        <v>2.5555555555555557E-2</v>
      </c>
      <c r="H11" s="27">
        <f t="shared" si="0"/>
        <v>3.7777777777777778E-2</v>
      </c>
      <c r="I11" s="27">
        <f t="shared" si="0"/>
        <v>5.7777777777777782E-2</v>
      </c>
      <c r="J11" s="27">
        <f t="shared" si="0"/>
        <v>8.7777777777777732E-2</v>
      </c>
      <c r="K11" s="27">
        <f t="shared" si="0"/>
        <v>0.1</v>
      </c>
      <c r="L11" s="27">
        <f t="shared" si="0"/>
        <v>0.15</v>
      </c>
      <c r="M11" s="27">
        <f t="shared" si="0"/>
        <v>0.2</v>
      </c>
      <c r="N11" s="1"/>
      <c r="O11">
        <f>(1-B11)*E4b!B11</f>
        <v>5</v>
      </c>
      <c r="P11">
        <f>(1-C11)*E4b!C11</f>
        <v>8</v>
      </c>
      <c r="Q11">
        <f>(1-D11)*E4b!D11</f>
        <v>10</v>
      </c>
      <c r="R11">
        <f>(1-E11)*E4b!E11</f>
        <v>11.901333333333334</v>
      </c>
      <c r="S11">
        <f>(1-F11)*E4b!F11</f>
        <v>14.75</v>
      </c>
      <c r="T11" s="70">
        <f>(1-G11)*E4b!G11</f>
        <v>19.488888888888887</v>
      </c>
      <c r="U11" s="70">
        <f>(1-H11)*E4b!H11</f>
        <v>48.111111111111107</v>
      </c>
      <c r="V11" s="70">
        <f>(1-I11)*E4b!I11</f>
        <v>94.222222222222214</v>
      </c>
      <c r="W11" s="70">
        <f>(1-J11)*E4b!J11</f>
        <v>182.44444444444446</v>
      </c>
      <c r="X11" s="70">
        <f>(1-K11)*E4b!K11</f>
        <v>450</v>
      </c>
      <c r="Y11">
        <f>(1-L11)*E4b!L11</f>
        <v>850</v>
      </c>
      <c r="Z11">
        <f>(1-M11)*E4b!M11</f>
        <v>4000</v>
      </c>
      <c r="AA11">
        <v>1</v>
      </c>
      <c r="AB11" s="3">
        <f>(E4b!C11-P11-(E4b!B11-O11))/(E4b!C11-E4b!B11)</f>
        <v>0</v>
      </c>
      <c r="AC11" s="3">
        <f>(E4b!D11-Q11-(E4b!C11-P11))/(E4b!D11-E4b!C11)</f>
        <v>0</v>
      </c>
      <c r="AD11" s="3">
        <f>(E4b!E11-R11-(E4b!D11-Q11))/(E4b!E11-E4b!D11)</f>
        <v>4.9333333333333229E-2</v>
      </c>
      <c r="AE11" s="3">
        <f>(E4b!F11-S11-(E4b!E11-R11))/(E4b!F11-E4b!E11)</f>
        <v>5.0444444444444514E-2</v>
      </c>
      <c r="AF11" s="68">
        <f>(E4b!G11-T11-(E4b!F11-S11))/(E4b!G11-E4b!F11)</f>
        <v>5.2222222222222572E-2</v>
      </c>
      <c r="AG11" s="68">
        <f>(E4b!H11-U11-(E4b!G11-T11))/(E4b!H11-E4b!G11)</f>
        <v>4.5925925925926002E-2</v>
      </c>
      <c r="AH11" s="3">
        <f>(E4b!I11-V11-(E4b!H11-U11))/(E4b!I11-E4b!H11)</f>
        <v>7.7777777777777862E-2</v>
      </c>
      <c r="AI11" s="3">
        <f>(E4b!J11-W11-(E4b!I11-V11))/(E4b!J11-E4b!I11)</f>
        <v>0.11777777777777758</v>
      </c>
      <c r="AJ11" s="3">
        <f>(E4b!K11-X11-(E4b!J11-W11))/(E4b!K11-E4b!J11)</f>
        <v>0.10814814814814819</v>
      </c>
      <c r="AK11" s="3">
        <f>(E4b!L11-Y11-(E4b!K11-X11))/(E4b!L11-E4b!K11)</f>
        <v>0.2</v>
      </c>
      <c r="AL11" s="3">
        <f>(E4b!M11-Z11-(E4b!L11-Y11))/(E4b!M11-E4b!L11)</f>
        <v>0.21249999999999999</v>
      </c>
      <c r="AM11" s="3">
        <f>(E4b!N11-AA11-(E4b!M11-Z11))/(E4b!N11-E4b!M11)</f>
        <v>0.20019999999999999</v>
      </c>
    </row>
    <row r="12" spans="1:40" ht="15.75" customHeight="1" x14ac:dyDescent="0.25">
      <c r="A12" s="21">
        <v>2034</v>
      </c>
      <c r="B12" s="27">
        <f t="shared" si="0"/>
        <v>0</v>
      </c>
      <c r="C12" s="27">
        <f t="shared" si="0"/>
        <v>0</v>
      </c>
      <c r="D12" s="27">
        <f t="shared" si="0"/>
        <v>0</v>
      </c>
      <c r="E12" s="27">
        <f t="shared" si="0"/>
        <v>9.1111111111111098E-3</v>
      </c>
      <c r="F12" s="27">
        <f t="shared" si="0"/>
        <v>1.8333333333333333E-2</v>
      </c>
      <c r="G12" s="27">
        <f t="shared" si="0"/>
        <v>2.777777777777778E-2</v>
      </c>
      <c r="H12" s="27">
        <f t="shared" si="0"/>
        <v>3.888888888888889E-2</v>
      </c>
      <c r="I12" s="27">
        <f t="shared" si="0"/>
        <v>5.8888888888888893E-2</v>
      </c>
      <c r="J12" s="27">
        <f t="shared" si="0"/>
        <v>8.8888888888888837E-2</v>
      </c>
      <c r="K12" s="27">
        <f t="shared" si="0"/>
        <v>0.1</v>
      </c>
      <c r="L12" s="27">
        <f t="shared" si="0"/>
        <v>0.15</v>
      </c>
      <c r="M12" s="27">
        <f t="shared" si="0"/>
        <v>0.2</v>
      </c>
      <c r="N12" s="1"/>
      <c r="O12">
        <f>(1-B12)*E4b!B12</f>
        <v>5</v>
      </c>
      <c r="P12">
        <f>(1-C12)*E4b!C12</f>
        <v>8</v>
      </c>
      <c r="Q12">
        <f>(1-D12)*E4b!D12</f>
        <v>10</v>
      </c>
      <c r="R12">
        <f>(1-E12)*E4b!E12</f>
        <v>11.890666666666668</v>
      </c>
      <c r="S12">
        <f>(1-F12)*E4b!F12</f>
        <v>14.725</v>
      </c>
      <c r="T12" s="70">
        <f>(1-G12)*E4b!G12</f>
        <v>19.444444444444443</v>
      </c>
      <c r="U12" s="70">
        <f>(1-H12)*E4b!H12</f>
        <v>48.055555555555557</v>
      </c>
      <c r="V12" s="70">
        <f>(1-I12)*E4b!I12</f>
        <v>94.111111111111114</v>
      </c>
      <c r="W12" s="70">
        <f>(1-J12)*E4b!J12</f>
        <v>182.22222222222223</v>
      </c>
      <c r="X12" s="70">
        <f>(1-K12)*E4b!K12</f>
        <v>450</v>
      </c>
      <c r="Y12">
        <f>(1-L12)*E4b!L12</f>
        <v>850</v>
      </c>
      <c r="Z12">
        <f>(1-M12)*E4b!M12</f>
        <v>4000</v>
      </c>
      <c r="AA12">
        <v>1</v>
      </c>
      <c r="AB12" s="3">
        <f>(E4b!C12-P12-(E4b!B12-O12))/(E4b!C12-E4b!B12)</f>
        <v>0</v>
      </c>
      <c r="AC12" s="3">
        <f>(E4b!D12-Q12-(E4b!C12-P12))/(E4b!D12-E4b!C12)</f>
        <v>0</v>
      </c>
      <c r="AD12" s="3">
        <f>(E4b!E12-R12-(E4b!D12-Q12))/(E4b!E12-E4b!D12)</f>
        <v>5.4666666666665975E-2</v>
      </c>
      <c r="AE12" s="3">
        <f>(E4b!F12-S12-(E4b!E12-R12))/(E4b!F12-E4b!E12)</f>
        <v>5.5222222222222804E-2</v>
      </c>
      <c r="AF12" s="68">
        <f>(E4b!G12-T12-(E4b!F12-S12))/(E4b!G12-E4b!F12)</f>
        <v>5.6111111111111354E-2</v>
      </c>
      <c r="AG12" s="68">
        <f>(E4b!H12-U12-(E4b!G12-T12))/(E4b!H12-E4b!G12)</f>
        <v>4.629629629629619E-2</v>
      </c>
      <c r="AH12" s="3">
        <f>(E4b!I12-V12-(E4b!H12-U12))/(E4b!I12-E4b!H12)</f>
        <v>7.8888888888888856E-2</v>
      </c>
      <c r="AI12" s="3">
        <f>(E4b!J12-W12-(E4b!I12-V12))/(E4b!J12-E4b!I12)</f>
        <v>0.11888888888888886</v>
      </c>
      <c r="AJ12" s="3">
        <f>(E4b!K12-X12-(E4b!J12-W12))/(E4b!K12-E4b!J12)</f>
        <v>0.10740740740740742</v>
      </c>
      <c r="AK12" s="3">
        <f>(E4b!L12-Y12-(E4b!K12-X12))/(E4b!L12-E4b!K12)</f>
        <v>0.2</v>
      </c>
      <c r="AL12" s="3">
        <f>(E4b!M12-Z12-(E4b!L12-Y12))/(E4b!M12-E4b!L12)</f>
        <v>0.21249999999999999</v>
      </c>
      <c r="AM12" s="3">
        <f>(E4b!N12-AA12-(E4b!M12-Z12))/(E4b!N12-E4b!M12)</f>
        <v>0.20019999999999999</v>
      </c>
    </row>
    <row r="13" spans="1:40" ht="15.75" customHeight="1" x14ac:dyDescent="0.25">
      <c r="A13" s="21">
        <v>2035</v>
      </c>
      <c r="B13" s="28">
        <v>0</v>
      </c>
      <c r="C13" s="28">
        <v>0</v>
      </c>
      <c r="D13" s="28">
        <v>0</v>
      </c>
      <c r="E13" s="28">
        <v>0.01</v>
      </c>
      <c r="F13" s="28">
        <v>0.02</v>
      </c>
      <c r="G13" s="28">
        <v>0.03</v>
      </c>
      <c r="H13" s="28">
        <v>0.04</v>
      </c>
      <c r="I13" s="28">
        <v>0.06</v>
      </c>
      <c r="J13" s="28">
        <v>0.09</v>
      </c>
      <c r="K13" s="28">
        <v>0.1</v>
      </c>
      <c r="L13" s="28">
        <v>0.15</v>
      </c>
      <c r="M13" s="28">
        <v>0.2</v>
      </c>
      <c r="N13" s="1"/>
      <c r="O13">
        <f>(1-B13)*E4b!B13</f>
        <v>5</v>
      </c>
      <c r="P13">
        <f>(1-C13)*E4b!C13</f>
        <v>8</v>
      </c>
      <c r="Q13">
        <f>(1-D13)*E4b!D13</f>
        <v>10</v>
      </c>
      <c r="R13">
        <f>(1-E13)*E4b!E13</f>
        <v>11.879999999999999</v>
      </c>
      <c r="S13">
        <f>(1-F13)*E4b!F13</f>
        <v>14.7</v>
      </c>
      <c r="T13" s="70">
        <f>(1-G13)*E4b!G13</f>
        <v>19.399999999999999</v>
      </c>
      <c r="U13" s="70">
        <f>(1-H13)*E4b!H13</f>
        <v>48</v>
      </c>
      <c r="V13" s="70">
        <f>(1-I13)*E4b!I13</f>
        <v>94</v>
      </c>
      <c r="W13" s="70">
        <f>(1-J13)*E4b!J13</f>
        <v>182</v>
      </c>
      <c r="X13" s="70">
        <f>(1-K13)*E4b!K13</f>
        <v>450</v>
      </c>
      <c r="Y13">
        <f>(1-L13)*E4b!L13</f>
        <v>850</v>
      </c>
      <c r="Z13">
        <f>(1-M13)*E4b!M13</f>
        <v>4000</v>
      </c>
      <c r="AA13">
        <v>1</v>
      </c>
      <c r="AB13" s="3">
        <f>(E4b!C13-P13-(E4b!B13-O13))/(E4b!C13-E4b!B13)</f>
        <v>0</v>
      </c>
      <c r="AC13" s="3">
        <f>(E4b!D13-Q13-(E4b!C13-P13))/(E4b!D13-E4b!C13)</f>
        <v>0</v>
      </c>
      <c r="AD13" s="3">
        <f>(E4b!E13-R13-(E4b!D13-Q13))/(E4b!E13-E4b!D13)</f>
        <v>6.0000000000000497E-2</v>
      </c>
      <c r="AE13" s="3">
        <f>(E4b!F13-S13-(E4b!E13-R13))/(E4b!F13-E4b!E13)</f>
        <v>5.9999999999999908E-2</v>
      </c>
      <c r="AF13" s="68">
        <f>(E4b!G13-T13-(E4b!F13-S13))/(E4b!G13-E4b!F13)</f>
        <v>6.0000000000000143E-2</v>
      </c>
      <c r="AG13" s="68">
        <f>(E4b!H13-U13-(E4b!G13-T13))/(E4b!H13-E4b!G13)</f>
        <v>4.666666666666662E-2</v>
      </c>
      <c r="AH13" s="3">
        <f>(E4b!I13-V13-(E4b!H13-U13))/(E4b!I13-E4b!H13)</f>
        <v>0.08</v>
      </c>
      <c r="AI13" s="3">
        <f>(E4b!J13-W13-(E4b!I13-V13))/(E4b!J13-E4b!I13)</f>
        <v>0.12</v>
      </c>
      <c r="AJ13" s="3">
        <f>(E4b!K13-X13-(E4b!J13-W13))/(E4b!K13-E4b!J13)</f>
        <v>0.10666666666666667</v>
      </c>
      <c r="AK13" s="3">
        <f>(E4b!L13-Y13-(E4b!K13-X13))/(E4b!L13-E4b!K13)</f>
        <v>0.2</v>
      </c>
      <c r="AL13" s="3">
        <f>(E4b!M13-Z13-(E4b!L13-Y13))/(E4b!M13-E4b!L13)</f>
        <v>0.21249999999999999</v>
      </c>
      <c r="AM13" s="3">
        <f>(E4b!N13-AA13-(E4b!M13-Z13))/(E4b!N13-E4b!M13)</f>
        <v>0.20019999999999999</v>
      </c>
    </row>
    <row r="14" spans="1:40" ht="15.75" customHeight="1" x14ac:dyDescent="0.25">
      <c r="A14" s="21">
        <v>2036</v>
      </c>
      <c r="B14" s="27">
        <f t="shared" ref="B14:B27" si="1">B13+(B$28-B$13)/15</f>
        <v>0</v>
      </c>
      <c r="C14" s="27">
        <f t="shared" ref="C14:C27" si="2">C13+(C$28-C$13)/15</f>
        <v>0</v>
      </c>
      <c r="D14" s="27">
        <f t="shared" ref="D14:D27" si="3">D13+(D$28-D$13)/15</f>
        <v>0</v>
      </c>
      <c r="E14" s="27">
        <f t="shared" ref="E14:E27" si="4">E13+(E$28-E$13)/15</f>
        <v>1.0666666666666666E-2</v>
      </c>
      <c r="F14" s="27">
        <f t="shared" ref="F14:F27" si="5">F13+(F$28-F$13)/15</f>
        <v>2.0666666666666667E-2</v>
      </c>
      <c r="G14" s="27">
        <f t="shared" ref="G14:G27" si="6">G13+(G$28-G$13)/15</f>
        <v>3.1333333333333331E-2</v>
      </c>
      <c r="H14" s="27">
        <f t="shared" ref="H14:H27" si="7">H13+(H$28-H$13)/15</f>
        <v>4.1333333333333333E-2</v>
      </c>
      <c r="I14" s="27">
        <f t="shared" ref="I14:I27" si="8">I13+(I$28-I$13)/15</f>
        <v>6.133333333333333E-2</v>
      </c>
      <c r="J14" s="27">
        <f t="shared" ref="J14:J27" si="9">J13+(J$28-J$13)/15</f>
        <v>9.0666666666666659E-2</v>
      </c>
      <c r="K14" s="27">
        <f t="shared" ref="K14:K27" si="10">K13+(K$28-K$13)/15</f>
        <v>0.10133333333333334</v>
      </c>
      <c r="L14" s="27">
        <f t="shared" ref="L14:L27" si="11">L13+(L$28-L$13)/15</f>
        <v>0.15</v>
      </c>
      <c r="M14" s="27">
        <f t="shared" ref="M14:M27" si="12">M13+(M$28-M$13)/15</f>
        <v>0.2</v>
      </c>
      <c r="N14" s="1"/>
      <c r="O14">
        <f>(1-B14)*E4b!B14</f>
        <v>4.9333333333333336</v>
      </c>
      <c r="P14">
        <f>(1-C14)*E4b!C14</f>
        <v>7.8</v>
      </c>
      <c r="Q14">
        <f>(1-D14)*E4b!D14</f>
        <v>9.8666666666666671</v>
      </c>
      <c r="R14">
        <f>(1-E14)*E4b!E14</f>
        <v>11.74008888888889</v>
      </c>
      <c r="S14">
        <f>(1-F14)*E4b!F14</f>
        <v>14.690000000000001</v>
      </c>
      <c r="T14" s="70">
        <f>(1-G14)*E4b!G14</f>
        <v>19.373333333333335</v>
      </c>
      <c r="U14" s="70">
        <f>(1-H14)*E4b!H14</f>
        <v>47.93333333333333</v>
      </c>
      <c r="V14" s="70">
        <f>(1-I14)*E4b!I14</f>
        <v>93.86666666666666</v>
      </c>
      <c r="W14" s="70">
        <f>(1-J14)*E4b!J14</f>
        <v>181.86666666666667</v>
      </c>
      <c r="X14" s="70">
        <f>(1-K14)*E4b!K14</f>
        <v>449.33333333333331</v>
      </c>
      <c r="Y14">
        <f>(1-L14)*E4b!L14</f>
        <v>850</v>
      </c>
      <c r="Z14">
        <f>(1-M14)*E4b!M14</f>
        <v>4000</v>
      </c>
      <c r="AA14">
        <v>2</v>
      </c>
      <c r="AB14" s="3">
        <f>(E4b!C14-P14-(E4b!B14-O14))/(E4b!C14-E4b!B14)</f>
        <v>0</v>
      </c>
      <c r="AC14" s="3">
        <f>(E4b!D14-Q14-(E4b!C14-P14))/(E4b!D14-E4b!C14)</f>
        <v>0</v>
      </c>
      <c r="AD14" s="68">
        <f>(E4b!E14-R14-(E4b!D14-Q14))/(E4b!E14-E4b!D14)</f>
        <v>6.3288888888888728E-2</v>
      </c>
      <c r="AE14" s="68">
        <f>(E4b!F14-S14-(E4b!E14-R14))/(E4b!F14-E4b!E14)</f>
        <v>5.8539007092198288E-2</v>
      </c>
      <c r="AF14" s="68">
        <f>(E4b!G14-T14-(E4b!F14-S14))/(E4b!G14-E4b!F14)</f>
        <v>6.3333333333333283E-2</v>
      </c>
      <c r="AG14" s="68">
        <f>(E4b!H14-U14-(E4b!G14-T14))/(E4b!H14-E4b!G14)</f>
        <v>4.8000000000000161E-2</v>
      </c>
      <c r="AH14" s="3">
        <f>(E4b!I14-V14-(E4b!H14-U14))/(E4b!I14-E4b!H14)</f>
        <v>8.1333333333333396E-2</v>
      </c>
      <c r="AI14" s="3">
        <f>(E4b!J14-W14-(E4b!I14-V14))/(E4b!J14-E4b!I14)</f>
        <v>0.11999999999999986</v>
      </c>
      <c r="AJ14" s="3">
        <f>(E4b!K14-X14-(E4b!J14-W14))/(E4b!K14-E4b!J14)</f>
        <v>0.10844444444444454</v>
      </c>
      <c r="AK14" s="3">
        <f>(E4b!L14-Y14-(E4b!K14-X14))/(E4b!L14-E4b!K14)</f>
        <v>0.19866666666666663</v>
      </c>
      <c r="AL14" s="3">
        <f>(E4b!M14-Z14-(E4b!L14-Y14))/(E4b!M14-E4b!L14)</f>
        <v>0.21249999999999999</v>
      </c>
      <c r="AM14" s="3">
        <f>(E4b!N14-AA14-(E4b!M14-Z14))/(E4b!N14-E4b!M14)</f>
        <v>0.20039999999999999</v>
      </c>
    </row>
    <row r="15" spans="1:40" ht="15.75" customHeight="1" x14ac:dyDescent="0.25">
      <c r="A15" s="21">
        <v>2037</v>
      </c>
      <c r="B15" s="27">
        <f t="shared" si="1"/>
        <v>0</v>
      </c>
      <c r="C15" s="27">
        <f t="shared" si="2"/>
        <v>0</v>
      </c>
      <c r="D15" s="27">
        <f t="shared" si="3"/>
        <v>0</v>
      </c>
      <c r="E15" s="27">
        <f t="shared" si="4"/>
        <v>1.1333333333333332E-2</v>
      </c>
      <c r="F15" s="27">
        <f t="shared" si="5"/>
        <v>2.1333333333333333E-2</v>
      </c>
      <c r="G15" s="27">
        <f t="shared" si="6"/>
        <v>3.2666666666666663E-2</v>
      </c>
      <c r="H15" s="27">
        <f t="shared" si="7"/>
        <v>4.2666666666666665E-2</v>
      </c>
      <c r="I15" s="27">
        <f t="shared" si="8"/>
        <v>6.2666666666666662E-2</v>
      </c>
      <c r="J15" s="27">
        <f t="shared" si="9"/>
        <v>9.1333333333333322E-2</v>
      </c>
      <c r="K15" s="27">
        <f t="shared" si="10"/>
        <v>0.10266666666666668</v>
      </c>
      <c r="L15" s="27">
        <f t="shared" si="11"/>
        <v>0.15</v>
      </c>
      <c r="M15" s="27">
        <f t="shared" si="12"/>
        <v>0.2</v>
      </c>
      <c r="N15" s="1"/>
      <c r="O15">
        <f>(1-B15)*E4b!B15</f>
        <v>4.8666666666666671</v>
      </c>
      <c r="P15">
        <f>(1-C15)*E4b!C15</f>
        <v>7.6</v>
      </c>
      <c r="Q15">
        <f>(1-D15)*E4b!D15</f>
        <v>9.7333333333333343</v>
      </c>
      <c r="R15">
        <f>(1-E15)*E4b!E15</f>
        <v>11.600355555555558</v>
      </c>
      <c r="S15">
        <f>(1-F15)*E4b!F15</f>
        <v>14.68</v>
      </c>
      <c r="T15" s="70">
        <f>(1-G15)*E4b!G15</f>
        <v>19.346666666666668</v>
      </c>
      <c r="U15" s="70">
        <f>(1-H15)*E4b!H15</f>
        <v>47.866666666666667</v>
      </c>
      <c r="V15" s="70">
        <f>(1-I15)*E4b!I15</f>
        <v>93.733333333333334</v>
      </c>
      <c r="W15" s="70">
        <f>(1-J15)*E4b!J15</f>
        <v>181.73333333333335</v>
      </c>
      <c r="X15" s="70">
        <f>(1-K15)*E4b!K15</f>
        <v>448.66666666666669</v>
      </c>
      <c r="Y15">
        <f>(1-L15)*E4b!L15</f>
        <v>850</v>
      </c>
      <c r="Z15">
        <f>(1-M15)*E4b!M15</f>
        <v>4000</v>
      </c>
      <c r="AA15">
        <v>2</v>
      </c>
      <c r="AB15" s="3">
        <f>(E4b!C15-P15-(E4b!B15-O15))/(E4b!C15-E4b!B15)</f>
        <v>0</v>
      </c>
      <c r="AC15" s="3">
        <f>(E4b!D15-Q15-(E4b!C15-P15))/(E4b!D15-E4b!C15)</f>
        <v>0</v>
      </c>
      <c r="AD15" s="68">
        <f>(E4b!E15-R15-(E4b!D15-Q15))/(E4b!E15-E4b!D15)</f>
        <v>6.6488888888888376E-2</v>
      </c>
      <c r="AE15" s="68">
        <f>(E4b!F15-S15-(E4b!E15-R15))/(E4b!F15-E4b!E15)</f>
        <v>5.7251700680272528E-2</v>
      </c>
      <c r="AF15" s="68">
        <f>(E4b!G15-T15-(E4b!F15-S15))/(E4b!G15-E4b!F15)</f>
        <v>6.666666666666643E-2</v>
      </c>
      <c r="AG15" s="68">
        <f>(E4b!H15-U15-(E4b!G15-T15))/(E4b!H15-E4b!G15)</f>
        <v>4.9333333333333347E-2</v>
      </c>
      <c r="AH15" s="3">
        <f>(E4b!I15-V15-(E4b!H15-U15))/(E4b!I15-E4b!H15)</f>
        <v>8.2666666666666652E-2</v>
      </c>
      <c r="AI15" s="3">
        <f>(E4b!J15-W15-(E4b!I15-V15))/(E4b!J15-E4b!I15)</f>
        <v>0.11999999999999986</v>
      </c>
      <c r="AJ15" s="3">
        <f>(E4b!K15-X15-(E4b!J15-W15))/(E4b!K15-E4b!J15)</f>
        <v>0.11022222222222221</v>
      </c>
      <c r="AK15" s="3">
        <f>(E4b!L15-Y15-(E4b!K15-X15))/(E4b!L15-E4b!K15)</f>
        <v>0.19733333333333336</v>
      </c>
      <c r="AL15" s="3">
        <f>(E4b!M15-Z15-(E4b!L15-Y15))/(E4b!M15-E4b!L15)</f>
        <v>0.21249999999999999</v>
      </c>
      <c r="AM15" s="3">
        <f>(E4b!N15-AA15-(E4b!M15-Z15))/(E4b!N15-E4b!M15)</f>
        <v>0.20039999999999999</v>
      </c>
    </row>
    <row r="16" spans="1:40" ht="15.75" customHeight="1" x14ac:dyDescent="0.25">
      <c r="A16" s="21">
        <v>2038</v>
      </c>
      <c r="B16" s="27">
        <f t="shared" si="1"/>
        <v>0</v>
      </c>
      <c r="C16" s="27">
        <f t="shared" si="2"/>
        <v>0</v>
      </c>
      <c r="D16" s="27">
        <f t="shared" si="3"/>
        <v>0</v>
      </c>
      <c r="E16" s="27">
        <f t="shared" si="4"/>
        <v>1.1999999999999999E-2</v>
      </c>
      <c r="F16" s="27">
        <f t="shared" si="5"/>
        <v>2.1999999999999999E-2</v>
      </c>
      <c r="G16" s="27">
        <f t="shared" si="6"/>
        <v>3.3999999999999996E-2</v>
      </c>
      <c r="H16" s="27">
        <f t="shared" si="7"/>
        <v>4.3999999999999997E-2</v>
      </c>
      <c r="I16" s="27">
        <f t="shared" si="8"/>
        <v>6.4000000000000001E-2</v>
      </c>
      <c r="J16" s="27">
        <f t="shared" si="9"/>
        <v>9.1999999999999985E-2</v>
      </c>
      <c r="K16" s="27">
        <f t="shared" si="10"/>
        <v>0.10400000000000002</v>
      </c>
      <c r="L16" s="27">
        <f t="shared" si="11"/>
        <v>0.15</v>
      </c>
      <c r="M16" s="27">
        <f t="shared" si="12"/>
        <v>0.2</v>
      </c>
      <c r="N16" s="1"/>
      <c r="O16">
        <f>(1-B16)*E4b!B16</f>
        <v>4.8000000000000007</v>
      </c>
      <c r="P16">
        <f>(1-C16)*E4b!C16</f>
        <v>7.3999999999999995</v>
      </c>
      <c r="Q16">
        <f>(1-D16)*E4b!D16</f>
        <v>9.6000000000000014</v>
      </c>
      <c r="R16">
        <f>(1-E16)*E4b!E16</f>
        <v>11.460800000000001</v>
      </c>
      <c r="S16">
        <f>(1-F16)*E4b!F16</f>
        <v>14.67</v>
      </c>
      <c r="T16" s="70">
        <f>(1-G16)*E4b!G16</f>
        <v>19.32</v>
      </c>
      <c r="U16" s="70">
        <f>(1-H16)*E4b!H16</f>
        <v>47.8</v>
      </c>
      <c r="V16" s="70">
        <f>(1-I16)*E4b!I16</f>
        <v>93.6</v>
      </c>
      <c r="W16" s="70">
        <f>(1-J16)*E4b!J16</f>
        <v>181.6</v>
      </c>
      <c r="X16" s="70">
        <f>(1-K16)*E4b!K16</f>
        <v>448</v>
      </c>
      <c r="Y16">
        <f>(1-L16)*E4b!L16</f>
        <v>850</v>
      </c>
      <c r="Z16">
        <f>(1-M16)*E4b!M16</f>
        <v>4000</v>
      </c>
      <c r="AA16">
        <v>2</v>
      </c>
      <c r="AB16" s="3">
        <f>(E4b!C16-P16-(E4b!B16-O16))/(E4b!C16-E4b!B16)</f>
        <v>0</v>
      </c>
      <c r="AC16" s="3">
        <f>(E4b!D16-Q16-(E4b!C16-P16))/(E4b!D16-E4b!C16)</f>
        <v>0</v>
      </c>
      <c r="AD16" s="68">
        <f>(E4b!E16-R16-(E4b!D16-Q16))/(E4b!E16-E4b!D16)</f>
        <v>6.9600000000000328E-2</v>
      </c>
      <c r="AE16" s="68">
        <f>(E4b!F16-S16-(E4b!E16-R16))/(E4b!F16-E4b!E16)</f>
        <v>5.6117647058823383E-2</v>
      </c>
      <c r="AF16" s="68">
        <f>(E4b!G16-T16-(E4b!F16-S16))/(E4b!G16-E4b!F16)</f>
        <v>6.9999999999999923E-2</v>
      </c>
      <c r="AG16" s="68">
        <f>(E4b!H16-U16-(E4b!G16-T16))/(E4b!H16-E4b!G16)</f>
        <v>5.0666666666666769E-2</v>
      </c>
      <c r="AH16" s="3">
        <f>(E4b!I16-V16-(E4b!H16-U16))/(E4b!I16-E4b!H16)</f>
        <v>8.4000000000000061E-2</v>
      </c>
      <c r="AI16" s="3">
        <f>(E4b!J16-W16-(E4b!I16-V16))/(E4b!J16-E4b!I16)</f>
        <v>0.12</v>
      </c>
      <c r="AJ16" s="3">
        <f>(E4b!K16-X16-(E4b!J16-W16))/(E4b!K16-E4b!J16)</f>
        <v>0.11199999999999997</v>
      </c>
      <c r="AK16" s="3">
        <f>(E4b!L16-Y16-(E4b!K16-X16))/(E4b!L16-E4b!K16)</f>
        <v>0.19600000000000001</v>
      </c>
      <c r="AL16" s="3">
        <f>(E4b!M16-Z16-(E4b!L16-Y16))/(E4b!M16-E4b!L16)</f>
        <v>0.21249999999999999</v>
      </c>
      <c r="AM16" s="3">
        <f>(E4b!N16-AA16-(E4b!M16-Z16))/(E4b!N16-E4b!M16)</f>
        <v>0.20039999999999999</v>
      </c>
    </row>
    <row r="17" spans="1:39" ht="15.75" customHeight="1" x14ac:dyDescent="0.25">
      <c r="A17" s="21">
        <v>2039</v>
      </c>
      <c r="B17" s="27">
        <f t="shared" si="1"/>
        <v>0</v>
      </c>
      <c r="C17" s="27">
        <f t="shared" si="2"/>
        <v>0</v>
      </c>
      <c r="D17" s="27">
        <f t="shared" si="3"/>
        <v>0</v>
      </c>
      <c r="E17" s="27">
        <f t="shared" si="4"/>
        <v>1.2666666666666665E-2</v>
      </c>
      <c r="F17" s="27">
        <f t="shared" si="5"/>
        <v>2.2666666666666665E-2</v>
      </c>
      <c r="G17" s="27">
        <f t="shared" si="6"/>
        <v>3.5333333333333328E-2</v>
      </c>
      <c r="H17" s="27">
        <f t="shared" si="7"/>
        <v>4.533333333333333E-2</v>
      </c>
      <c r="I17" s="27">
        <f t="shared" si="8"/>
        <v>6.533333333333334E-2</v>
      </c>
      <c r="J17" s="27">
        <f t="shared" si="9"/>
        <v>9.2666666666666647E-2</v>
      </c>
      <c r="K17" s="27">
        <f t="shared" si="10"/>
        <v>0.10533333333333336</v>
      </c>
      <c r="L17" s="27">
        <f t="shared" si="11"/>
        <v>0.15</v>
      </c>
      <c r="M17" s="27">
        <f t="shared" si="12"/>
        <v>0.2</v>
      </c>
      <c r="N17" s="1"/>
      <c r="O17">
        <f>(1-B17)*E4b!B17</f>
        <v>4.7333333333333343</v>
      </c>
      <c r="P17">
        <f>(1-C17)*E4b!C17</f>
        <v>7.1999999999999993</v>
      </c>
      <c r="Q17">
        <f>(1-D17)*E4b!D17</f>
        <v>9.4666666666666686</v>
      </c>
      <c r="R17">
        <f>(1-E17)*E4b!E17</f>
        <v>11.321422222222223</v>
      </c>
      <c r="S17">
        <f>(1-F17)*E4b!F17</f>
        <v>14.66</v>
      </c>
      <c r="T17" s="70">
        <f>(1-G17)*E4b!G17</f>
        <v>19.293333333333333</v>
      </c>
      <c r="U17" s="70">
        <f>(1-H17)*E4b!H17</f>
        <v>47.733333333333334</v>
      </c>
      <c r="V17" s="70">
        <f>(1-I17)*E4b!I17</f>
        <v>93.466666666666669</v>
      </c>
      <c r="W17" s="70">
        <f>(1-J17)*E4b!J17</f>
        <v>181.46666666666667</v>
      </c>
      <c r="X17" s="70">
        <f>(1-K17)*E4b!K17</f>
        <v>447.33333333333331</v>
      </c>
      <c r="Y17">
        <f>(1-L17)*E4b!L17</f>
        <v>850</v>
      </c>
      <c r="Z17">
        <f>(1-M17)*E4b!M17</f>
        <v>4000</v>
      </c>
      <c r="AA17">
        <v>2</v>
      </c>
      <c r="AB17" s="3">
        <f>(E4b!C17-P17-(E4b!B17-O17))/(E4b!C17-E4b!B17)</f>
        <v>0</v>
      </c>
      <c r="AC17" s="3">
        <f>(E4b!D17-Q17-(E4b!C17-P17))/(E4b!D17-E4b!C17)</f>
        <v>0</v>
      </c>
      <c r="AD17" s="68">
        <f>(E4b!E17-R17-(E4b!D17-Q17))/(E4b!E17-E4b!D17)</f>
        <v>7.262222222222281E-2</v>
      </c>
      <c r="AE17" s="68">
        <f>(E4b!F17-S17-(E4b!E17-R17))/(E4b!F17-E4b!E17)</f>
        <v>5.5119496855345569E-2</v>
      </c>
      <c r="AF17" s="68">
        <f>(E4b!G17-T17-(E4b!F17-S17))/(E4b!G17-E4b!F17)</f>
        <v>7.3333333333333431E-2</v>
      </c>
      <c r="AG17" s="68">
        <f>(E4b!H17-U17-(E4b!G17-T17))/(E4b!H17-E4b!G17)</f>
        <v>5.1999999999999956E-2</v>
      </c>
      <c r="AH17" s="3">
        <f>(E4b!I17-V17-(E4b!H17-U17))/(E4b!I17-E4b!H17)</f>
        <v>8.5333333333333317E-2</v>
      </c>
      <c r="AI17" s="3">
        <f>(E4b!J17-W17-(E4b!I17-V17))/(E4b!J17-E4b!I17)</f>
        <v>0.12</v>
      </c>
      <c r="AJ17" s="3">
        <f>(E4b!K17-X17-(E4b!J17-W17))/(E4b!K17-E4b!J17)</f>
        <v>0.11377777777777785</v>
      </c>
      <c r="AK17" s="3">
        <f>(E4b!L17-Y17-(E4b!K17-X17))/(E4b!L17-E4b!K17)</f>
        <v>0.19466666666666663</v>
      </c>
      <c r="AL17" s="3">
        <f>(E4b!M17-Z17-(E4b!L17-Y17))/(E4b!M17-E4b!L17)</f>
        <v>0.21249999999999999</v>
      </c>
      <c r="AM17" s="3">
        <f>(E4b!N17-AA17-(E4b!M17-Z17))/(E4b!N17-E4b!M17)</f>
        <v>0.20039999999999999</v>
      </c>
    </row>
    <row r="18" spans="1:39" ht="15.75" customHeight="1" x14ac:dyDescent="0.25">
      <c r="A18" s="21">
        <v>2040</v>
      </c>
      <c r="B18" s="27">
        <f t="shared" si="1"/>
        <v>0</v>
      </c>
      <c r="C18" s="27">
        <f t="shared" si="2"/>
        <v>0</v>
      </c>
      <c r="D18" s="27">
        <f t="shared" si="3"/>
        <v>0</v>
      </c>
      <c r="E18" s="27">
        <f t="shared" si="4"/>
        <v>1.3333333333333331E-2</v>
      </c>
      <c r="F18" s="27">
        <f t="shared" si="5"/>
        <v>2.3333333333333331E-2</v>
      </c>
      <c r="G18" s="27">
        <f t="shared" si="6"/>
        <v>3.666666666666666E-2</v>
      </c>
      <c r="H18" s="27">
        <f t="shared" si="7"/>
        <v>4.6666666666666662E-2</v>
      </c>
      <c r="I18" s="27">
        <f t="shared" si="8"/>
        <v>6.666666666666668E-2</v>
      </c>
      <c r="J18" s="27">
        <f t="shared" si="9"/>
        <v>9.333333333333331E-2</v>
      </c>
      <c r="K18" s="27">
        <f t="shared" si="10"/>
        <v>0.1066666666666667</v>
      </c>
      <c r="L18" s="27">
        <f t="shared" si="11"/>
        <v>0.15</v>
      </c>
      <c r="M18" s="27">
        <f t="shared" si="12"/>
        <v>0.2</v>
      </c>
      <c r="N18" s="1"/>
      <c r="O18">
        <f>(1-B18)*E4b!B18</f>
        <v>4.6666666666666679</v>
      </c>
      <c r="P18">
        <f>(1-C18)*E4b!C18</f>
        <v>6.9999999999999991</v>
      </c>
      <c r="Q18">
        <f>(1-D18)*E4b!D18</f>
        <v>9.3333333333333357</v>
      </c>
      <c r="R18">
        <f>(1-E18)*E4b!E18</f>
        <v>11.182222222222224</v>
      </c>
      <c r="S18">
        <f>(1-F18)*E4b!F18</f>
        <v>14.65</v>
      </c>
      <c r="T18" s="70">
        <f>(1-G18)*E4b!G18</f>
        <v>19.266666666666666</v>
      </c>
      <c r="U18" s="70">
        <f>(1-H18)*E4b!H18</f>
        <v>47.666666666666671</v>
      </c>
      <c r="V18" s="70">
        <f>(1-I18)*E4b!I18</f>
        <v>93.333333333333329</v>
      </c>
      <c r="W18" s="70">
        <f>(1-J18)*E4b!J18</f>
        <v>181.33333333333334</v>
      </c>
      <c r="X18" s="70">
        <f>(1-K18)*E4b!K18</f>
        <v>446.66666666666663</v>
      </c>
      <c r="Y18">
        <f>(1-L18)*E4b!L18</f>
        <v>850</v>
      </c>
      <c r="Z18">
        <f>(1-M18)*E4b!M18</f>
        <v>4000</v>
      </c>
      <c r="AA18">
        <v>2</v>
      </c>
      <c r="AB18" s="3">
        <f>(E4b!C18-P18-(E4b!B18-O18))/(E4b!C18-E4b!B18)</f>
        <v>0</v>
      </c>
      <c r="AC18" s="3">
        <f>(E4b!D18-Q18-(E4b!C18-P18))/(E4b!D18-E4b!C18)</f>
        <v>0</v>
      </c>
      <c r="AD18" s="68">
        <f>(E4b!E18-R18-(E4b!D18-Q18))/(E4b!E18-E4b!D18)</f>
        <v>7.555555555555582E-2</v>
      </c>
      <c r="AE18" s="68">
        <f>(E4b!F18-S18-(E4b!E18-R18))/(E4b!F18-E4b!E18)</f>
        <v>5.4242424242424037E-2</v>
      </c>
      <c r="AF18" s="68">
        <f>(E4b!G18-T18-(E4b!F18-S18))/(E4b!G18-E4b!F18)</f>
        <v>7.6666666666666924E-2</v>
      </c>
      <c r="AG18" s="68">
        <f>(E4b!H18-U18-(E4b!G18-T18))/(E4b!H18-E4b!G18)</f>
        <v>5.3333333333333142E-2</v>
      </c>
      <c r="AH18" s="3">
        <f>(E4b!I18-V18-(E4b!H18-U18))/(E4b!I18-E4b!H18)</f>
        <v>8.666666666666685E-2</v>
      </c>
      <c r="AI18" s="3">
        <f>(E4b!J18-W18-(E4b!I18-V18))/(E4b!J18-E4b!I18)</f>
        <v>0.11999999999999986</v>
      </c>
      <c r="AJ18" s="3">
        <f>(E4b!K18-X18-(E4b!J18-W18))/(E4b!K18-E4b!J18)</f>
        <v>0.11555555555555572</v>
      </c>
      <c r="AK18" s="3">
        <f>(E4b!L18-Y18-(E4b!K18-X18))/(E4b!L18-E4b!K18)</f>
        <v>0.19333333333333325</v>
      </c>
      <c r="AL18" s="3">
        <f>(E4b!M18-Z18-(E4b!L18-Y18))/(E4b!M18-E4b!L18)</f>
        <v>0.21249999999999999</v>
      </c>
      <c r="AM18" s="3">
        <f>(E4b!N18-AA18-(E4b!M18-Z18))/(E4b!N18-E4b!M18)</f>
        <v>0.20039999999999999</v>
      </c>
    </row>
    <row r="19" spans="1:39" ht="15.75" customHeight="1" x14ac:dyDescent="0.25">
      <c r="A19" s="21">
        <v>2041</v>
      </c>
      <c r="B19" s="27">
        <f t="shared" si="1"/>
        <v>0</v>
      </c>
      <c r="C19" s="27">
        <f t="shared" si="2"/>
        <v>0</v>
      </c>
      <c r="D19" s="27">
        <f t="shared" si="3"/>
        <v>0</v>
      </c>
      <c r="E19" s="27">
        <f t="shared" si="4"/>
        <v>1.3999999999999997E-2</v>
      </c>
      <c r="F19" s="27">
        <f t="shared" si="5"/>
        <v>2.3999999999999997E-2</v>
      </c>
      <c r="G19" s="27">
        <f t="shared" si="6"/>
        <v>3.7999999999999992E-2</v>
      </c>
      <c r="H19" s="27">
        <f t="shared" si="7"/>
        <v>4.7999999999999994E-2</v>
      </c>
      <c r="I19" s="27">
        <f t="shared" si="8"/>
        <v>6.8000000000000019E-2</v>
      </c>
      <c r="J19" s="27">
        <f t="shared" si="9"/>
        <v>9.3999999999999972E-2</v>
      </c>
      <c r="K19" s="27">
        <f t="shared" si="10"/>
        <v>0.10800000000000004</v>
      </c>
      <c r="L19" s="27">
        <f t="shared" si="11"/>
        <v>0.15</v>
      </c>
      <c r="M19" s="27">
        <f t="shared" si="12"/>
        <v>0.2</v>
      </c>
      <c r="N19" s="1"/>
      <c r="O19">
        <f>(1-B19)*E4b!B19</f>
        <v>4.6000000000000014</v>
      </c>
      <c r="P19">
        <f>(1-C19)*E4b!C19</f>
        <v>6.7999999999999989</v>
      </c>
      <c r="Q19">
        <f>(1-D19)*E4b!D19</f>
        <v>9.2000000000000028</v>
      </c>
      <c r="R19">
        <f>(1-E19)*E4b!E19</f>
        <v>11.043200000000002</v>
      </c>
      <c r="S19">
        <f>(1-F19)*E4b!F19</f>
        <v>14.64</v>
      </c>
      <c r="T19" s="70">
        <f>(1-G19)*E4b!G19</f>
        <v>19.239999999999998</v>
      </c>
      <c r="U19" s="70">
        <f>(1-H19)*E4b!H19</f>
        <v>47.599999999999994</v>
      </c>
      <c r="V19" s="70">
        <f>(1-I19)*E4b!I19</f>
        <v>93.199999999999989</v>
      </c>
      <c r="W19" s="70">
        <f>(1-J19)*E4b!J19</f>
        <v>181.20000000000002</v>
      </c>
      <c r="X19" s="70">
        <f>(1-K19)*E4b!K19</f>
        <v>445.99999999999994</v>
      </c>
      <c r="Y19">
        <f>(1-L19)*E4b!L19</f>
        <v>850</v>
      </c>
      <c r="Z19">
        <f>(1-M19)*E4b!M19</f>
        <v>4000</v>
      </c>
      <c r="AA19">
        <v>2</v>
      </c>
      <c r="AB19" s="3">
        <f>(E4b!C19-P19-(E4b!B19-O19))/(E4b!C19-E4b!B19)</f>
        <v>0</v>
      </c>
      <c r="AC19" s="3">
        <f>(E4b!D19-Q19-(E4b!C19-P19))/(E4b!D19-E4b!C19)</f>
        <v>0</v>
      </c>
      <c r="AD19" s="68">
        <f>(E4b!E19-R19-(E4b!D19-Q19))/(E4b!E19-E4b!D19)</f>
        <v>7.8400000000000247E-2</v>
      </c>
      <c r="AE19" s="68">
        <f>(E4b!F19-S19-(E4b!E19-R19))/(E4b!F19-E4b!E19)</f>
        <v>5.3473684210526076E-2</v>
      </c>
      <c r="AF19" s="68">
        <f>(E4b!G19-T19-(E4b!F19-S19))/(E4b!G19-E4b!F19)</f>
        <v>8.0000000000000432E-2</v>
      </c>
      <c r="AG19" s="68">
        <f>(E4b!H19-U19-(E4b!G19-T19))/(E4b!H19-E4b!G19)</f>
        <v>5.4666666666666801E-2</v>
      </c>
      <c r="AH19" s="3">
        <f>(E4b!I19-V19-(E4b!H19-U19))/(E4b!I19-E4b!H19)</f>
        <v>8.800000000000012E-2</v>
      </c>
      <c r="AI19" s="3">
        <f>(E4b!J19-W19-(E4b!I19-V19))/(E4b!J19-E4b!I19)</f>
        <v>0.11999999999999972</v>
      </c>
      <c r="AJ19" s="3">
        <f>(E4b!K19-X19-(E4b!J19-W19))/(E4b!K19-E4b!J19)</f>
        <v>0.11733333333333358</v>
      </c>
      <c r="AK19" s="3">
        <f>(E4b!L19-Y19-(E4b!K19-X19))/(E4b!L19-E4b!K19)</f>
        <v>0.19199999999999989</v>
      </c>
      <c r="AL19" s="3">
        <f>(E4b!M19-Z19-(E4b!L19-Y19))/(E4b!M19-E4b!L19)</f>
        <v>0.21249999999999999</v>
      </c>
      <c r="AM19" s="3">
        <f>(E4b!N19-AA19-(E4b!M19-Z19))/(E4b!N19-E4b!M19)</f>
        <v>0.20039999999999999</v>
      </c>
    </row>
    <row r="20" spans="1:39" ht="15.75" customHeight="1" x14ac:dyDescent="0.25">
      <c r="A20" s="21">
        <v>2042</v>
      </c>
      <c r="B20" s="27">
        <f t="shared" si="1"/>
        <v>0</v>
      </c>
      <c r="C20" s="27">
        <f t="shared" si="2"/>
        <v>0</v>
      </c>
      <c r="D20" s="27">
        <f t="shared" si="3"/>
        <v>0</v>
      </c>
      <c r="E20" s="27">
        <f t="shared" si="4"/>
        <v>1.4666666666666663E-2</v>
      </c>
      <c r="F20" s="27">
        <f t="shared" si="5"/>
        <v>2.4666666666666663E-2</v>
      </c>
      <c r="G20" s="27">
        <f t="shared" si="6"/>
        <v>3.9333333333333324E-2</v>
      </c>
      <c r="H20" s="27">
        <f t="shared" si="7"/>
        <v>4.9333333333333326E-2</v>
      </c>
      <c r="I20" s="27">
        <f t="shared" si="8"/>
        <v>6.9333333333333358E-2</v>
      </c>
      <c r="J20" s="27">
        <f t="shared" si="9"/>
        <v>9.4666666666666635E-2</v>
      </c>
      <c r="K20" s="27">
        <f t="shared" si="10"/>
        <v>0.10933333333333338</v>
      </c>
      <c r="L20" s="27">
        <f t="shared" si="11"/>
        <v>0.15</v>
      </c>
      <c r="M20" s="27">
        <f t="shared" si="12"/>
        <v>0.2</v>
      </c>
      <c r="N20" s="1"/>
      <c r="O20">
        <f>(1-B20)*E4b!B20</f>
        <v>4.533333333333335</v>
      </c>
      <c r="P20">
        <f>(1-C20)*E4b!C20</f>
        <v>6.5999999999999988</v>
      </c>
      <c r="Q20">
        <f>(1-D20)*E4b!D20</f>
        <v>9.06666666666667</v>
      </c>
      <c r="R20">
        <f>(1-E20)*E4b!E20</f>
        <v>10.904355555555558</v>
      </c>
      <c r="S20">
        <f>(1-F20)*E4b!F20</f>
        <v>14.63</v>
      </c>
      <c r="T20" s="70">
        <f>(1-G20)*E4b!G20</f>
        <v>19.213333333333335</v>
      </c>
      <c r="U20" s="70">
        <f>(1-H20)*E4b!H20</f>
        <v>47.533333333333331</v>
      </c>
      <c r="V20" s="70">
        <f>(1-I20)*E4b!I20</f>
        <v>93.066666666666663</v>
      </c>
      <c r="W20" s="70">
        <f>(1-J20)*E4b!J20</f>
        <v>181.06666666666666</v>
      </c>
      <c r="X20" s="70">
        <f>(1-K20)*E4b!K20</f>
        <v>445.33333333333331</v>
      </c>
      <c r="Y20">
        <f>(1-L20)*E4b!L20</f>
        <v>850</v>
      </c>
      <c r="Z20">
        <f>(1-M20)*E4b!M20</f>
        <v>4000</v>
      </c>
      <c r="AA20">
        <v>2</v>
      </c>
      <c r="AB20" s="3">
        <f>(E4b!C20-P20-(E4b!B20-O20))/(E4b!C20-E4b!B20)</f>
        <v>0</v>
      </c>
      <c r="AC20" s="3">
        <f>(E4b!D20-Q20-(E4b!C20-P20))/(E4b!D20-E4b!C20)</f>
        <v>0</v>
      </c>
      <c r="AD20" s="68">
        <f>(E4b!E20-R20-(E4b!D20-Q20))/(E4b!E20-E4b!D20)</f>
        <v>8.1155555555556091E-2</v>
      </c>
      <c r="AE20" s="68">
        <f>(E4b!F20-S20-(E4b!E20-R20))/(E4b!F20-E4b!E20)</f>
        <v>5.2802259887005223E-2</v>
      </c>
      <c r="AF20" s="68">
        <f>(E4b!G20-T20-(E4b!F20-S20))/(E4b!G20-E4b!F20)</f>
        <v>8.3333333333333218E-2</v>
      </c>
      <c r="AG20" s="68">
        <f>(E4b!H20-U20-(E4b!G20-T20))/(E4b!H20-E4b!G20)</f>
        <v>5.6000000000000112E-2</v>
      </c>
      <c r="AH20" s="3">
        <f>(E4b!I20-V20-(E4b!H20-U20))/(E4b!I20-E4b!H20)</f>
        <v>8.9333333333333376E-2</v>
      </c>
      <c r="AI20" s="3">
        <f>(E4b!J20-W20-(E4b!I20-V20))/(E4b!J20-E4b!I20)</f>
        <v>0.12</v>
      </c>
      <c r="AJ20" s="3">
        <f>(E4b!K20-X20-(E4b!J20-W20))/(E4b!K20-E4b!J20)</f>
        <v>0.11911111111111117</v>
      </c>
      <c r="AK20" s="3">
        <f>(E4b!L20-Y20-(E4b!K20-X20))/(E4b!L20-E4b!K20)</f>
        <v>0.19066666666666662</v>
      </c>
      <c r="AL20" s="3">
        <f>(E4b!M20-Z20-(E4b!L20-Y20))/(E4b!M20-E4b!L20)</f>
        <v>0.21249999999999999</v>
      </c>
      <c r="AM20" s="3">
        <f>(E4b!N20-AA20-(E4b!M20-Z20))/(E4b!N20-E4b!M20)</f>
        <v>0.20039999999999999</v>
      </c>
    </row>
    <row r="21" spans="1:39" ht="15.75" customHeight="1" x14ac:dyDescent="0.25">
      <c r="A21" s="21">
        <v>2043</v>
      </c>
      <c r="B21" s="27">
        <f t="shared" si="1"/>
        <v>0</v>
      </c>
      <c r="C21" s="27">
        <f t="shared" si="2"/>
        <v>0</v>
      </c>
      <c r="D21" s="27">
        <f t="shared" si="3"/>
        <v>0</v>
      </c>
      <c r="E21" s="27">
        <f t="shared" si="4"/>
        <v>1.5333333333333329E-2</v>
      </c>
      <c r="F21" s="27">
        <f t="shared" si="5"/>
        <v>2.5333333333333329E-2</v>
      </c>
      <c r="G21" s="27">
        <f t="shared" si="6"/>
        <v>4.0666666666666657E-2</v>
      </c>
      <c r="H21" s="27">
        <f t="shared" si="7"/>
        <v>5.0666666666666658E-2</v>
      </c>
      <c r="I21" s="27">
        <f t="shared" si="8"/>
        <v>7.0666666666666697E-2</v>
      </c>
      <c r="J21" s="27">
        <f t="shared" si="9"/>
        <v>9.5333333333333298E-2</v>
      </c>
      <c r="K21" s="27">
        <f t="shared" si="10"/>
        <v>0.11066666666666672</v>
      </c>
      <c r="L21" s="27">
        <f t="shared" si="11"/>
        <v>0.15</v>
      </c>
      <c r="M21" s="27">
        <f t="shared" si="12"/>
        <v>0.2</v>
      </c>
      <c r="N21" s="1"/>
      <c r="O21">
        <f>(1-B21)*E4b!B21</f>
        <v>4.4666666666666686</v>
      </c>
      <c r="P21">
        <f>(1-C21)*E4b!C21</f>
        <v>6.3999999999999986</v>
      </c>
      <c r="Q21">
        <f>(1-D21)*E4b!D21</f>
        <v>8.9333333333333371</v>
      </c>
      <c r="R21">
        <f>(1-E21)*E4b!E21</f>
        <v>10.765688888888892</v>
      </c>
      <c r="S21">
        <f>(1-F21)*E4b!F21</f>
        <v>14.620000000000001</v>
      </c>
      <c r="T21" s="70">
        <f>(1-G21)*E4b!G21</f>
        <v>19.186666666666667</v>
      </c>
      <c r="U21" s="70">
        <f>(1-H21)*E4b!H21</f>
        <v>47.466666666666669</v>
      </c>
      <c r="V21" s="70">
        <f>(1-I21)*E4b!I21</f>
        <v>92.933333333333337</v>
      </c>
      <c r="W21" s="70">
        <f>(1-J21)*E4b!J21</f>
        <v>180.93333333333334</v>
      </c>
      <c r="X21" s="70">
        <f>(1-K21)*E4b!K21</f>
        <v>444.66666666666663</v>
      </c>
      <c r="Y21">
        <f>(1-L21)*E4b!L21</f>
        <v>850</v>
      </c>
      <c r="Z21">
        <f>(1-M21)*E4b!M21</f>
        <v>4000</v>
      </c>
      <c r="AA21">
        <v>2</v>
      </c>
      <c r="AB21" s="3">
        <f>(E4b!C21-P21-(E4b!B21-O21))/(E4b!C21-E4b!B21)</f>
        <v>0</v>
      </c>
      <c r="AC21" s="3">
        <f>(E4b!D21-Q21-(E4b!C21-P21))/(E4b!D21-E4b!C21)</f>
        <v>0</v>
      </c>
      <c r="AD21" s="68">
        <f>(E4b!E21-R21-(E4b!D21-Q21))/(E4b!E21-E4b!D21)</f>
        <v>8.3822222222222464E-2</v>
      </c>
      <c r="AE21" s="68">
        <f>(E4b!F21-S21-(E4b!E21-R21))/(E4b!F21-E4b!E21)</f>
        <v>5.2218579234972362E-2</v>
      </c>
      <c r="AF21" s="68">
        <f>(E4b!G21-T21-(E4b!F21-S21))/(E4b!G21-E4b!F21)</f>
        <v>8.6666666666666711E-2</v>
      </c>
      <c r="AG21" s="68">
        <f>(E4b!H21-U21-(E4b!G21-T21))/(E4b!H21-E4b!G21)</f>
        <v>5.7333333333333299E-2</v>
      </c>
      <c r="AH21" s="3">
        <f>(E4b!I21-V21-(E4b!H21-U21))/(E4b!I21-E4b!H21)</f>
        <v>9.0666666666666632E-2</v>
      </c>
      <c r="AI21" s="3">
        <f>(E4b!J21-W21-(E4b!I21-V21))/(E4b!J21-E4b!I21)</f>
        <v>0.12</v>
      </c>
      <c r="AJ21" s="3">
        <f>(E4b!K21-X21-(E4b!J21-W21))/(E4b!K21-E4b!J21)</f>
        <v>0.12088888888888903</v>
      </c>
      <c r="AK21" s="3">
        <f>(E4b!L21-Y21-(E4b!K21-X21))/(E4b!L21-E4b!K21)</f>
        <v>0.18933333333333327</v>
      </c>
      <c r="AL21" s="3">
        <f>(E4b!M21-Z21-(E4b!L21-Y21))/(E4b!M21-E4b!L21)</f>
        <v>0.21249999999999999</v>
      </c>
      <c r="AM21" s="3">
        <f>(E4b!N21-AA21-(E4b!M21-Z21))/(E4b!N21-E4b!M21)</f>
        <v>0.20039999999999999</v>
      </c>
    </row>
    <row r="22" spans="1:39" ht="15.75" customHeight="1" x14ac:dyDescent="0.25">
      <c r="A22" s="21">
        <v>2044</v>
      </c>
      <c r="B22" s="27">
        <f t="shared" si="1"/>
        <v>0</v>
      </c>
      <c r="C22" s="27">
        <f t="shared" si="2"/>
        <v>0</v>
      </c>
      <c r="D22" s="27">
        <f t="shared" si="3"/>
        <v>0</v>
      </c>
      <c r="E22" s="27">
        <f t="shared" si="4"/>
        <v>1.5999999999999997E-2</v>
      </c>
      <c r="F22" s="27">
        <f t="shared" si="5"/>
        <v>2.5999999999999995E-2</v>
      </c>
      <c r="G22" s="27">
        <f t="shared" si="6"/>
        <v>4.1999999999999989E-2</v>
      </c>
      <c r="H22" s="27">
        <f t="shared" si="7"/>
        <v>5.1999999999999991E-2</v>
      </c>
      <c r="I22" s="27">
        <f t="shared" si="8"/>
        <v>7.2000000000000036E-2</v>
      </c>
      <c r="J22" s="27">
        <f t="shared" si="9"/>
        <v>9.599999999999996E-2</v>
      </c>
      <c r="K22" s="27">
        <f t="shared" si="10"/>
        <v>0.11200000000000006</v>
      </c>
      <c r="L22" s="27">
        <f t="shared" si="11"/>
        <v>0.15</v>
      </c>
      <c r="M22" s="27">
        <f t="shared" si="12"/>
        <v>0.2</v>
      </c>
      <c r="N22" s="1"/>
      <c r="O22">
        <f>(1-B22)*E4b!B22</f>
        <v>4.4000000000000021</v>
      </c>
      <c r="P22">
        <f>(1-C22)*E4b!C22</f>
        <v>6.1999999999999984</v>
      </c>
      <c r="Q22">
        <f>(1-D22)*E4b!D22</f>
        <v>8.8000000000000043</v>
      </c>
      <c r="R22">
        <f>(1-E22)*E4b!E22</f>
        <v>10.627200000000004</v>
      </c>
      <c r="S22">
        <f>(1-F22)*E4b!F22</f>
        <v>14.61</v>
      </c>
      <c r="T22" s="70">
        <f>(1-G22)*E4b!G22</f>
        <v>19.16</v>
      </c>
      <c r="U22" s="70">
        <f>(1-H22)*E4b!H22</f>
        <v>47.4</v>
      </c>
      <c r="V22" s="70">
        <f>(1-I22)*E4b!I22</f>
        <v>92.8</v>
      </c>
      <c r="W22" s="70">
        <f>(1-J22)*E4b!J22</f>
        <v>180.8</v>
      </c>
      <c r="X22" s="70">
        <f>(1-K22)*E4b!K22</f>
        <v>443.99999999999994</v>
      </c>
      <c r="Y22">
        <f>(1-L22)*E4b!L22</f>
        <v>850</v>
      </c>
      <c r="Z22">
        <f>(1-M22)*E4b!M22</f>
        <v>4000</v>
      </c>
      <c r="AA22">
        <v>2</v>
      </c>
      <c r="AB22" s="3">
        <f>(E4b!C22-P22-(E4b!B22-O22))/(E4b!C22-E4b!B22)</f>
        <v>0</v>
      </c>
      <c r="AC22" s="3">
        <f>(E4b!D22-Q22-(E4b!C22-P22))/(E4b!D22-E4b!C22)</f>
        <v>0</v>
      </c>
      <c r="AD22" s="68">
        <f>(E4b!E22-R22-(E4b!D22-Q22))/(E4b!E22-E4b!D22)</f>
        <v>8.6400000000000254E-2</v>
      </c>
      <c r="AE22" s="68">
        <f>(E4b!F22-S22-(E4b!E22-R22))/(E4b!F22-E4b!E22)</f>
        <v>5.1714285714285782E-2</v>
      </c>
      <c r="AF22" s="68">
        <f>(E4b!G22-T22-(E4b!F22-S22))/(E4b!G22-E4b!F22)</f>
        <v>8.9999999999999858E-2</v>
      </c>
      <c r="AG22" s="68">
        <f>(E4b!H22-U22-(E4b!G22-T22))/(E4b!H22-E4b!G22)</f>
        <v>5.8666666666666721E-2</v>
      </c>
      <c r="AH22" s="3">
        <f>(E4b!I22-V22-(E4b!H22-U22))/(E4b!I22-E4b!H22)</f>
        <v>9.2000000000000026E-2</v>
      </c>
      <c r="AI22" s="3">
        <f>(E4b!J22-W22-(E4b!I22-V22))/(E4b!J22-E4b!I22)</f>
        <v>0.11999999999999986</v>
      </c>
      <c r="AJ22" s="3">
        <f>(E4b!K22-X22-(E4b!J22-W22))/(E4b!K22-E4b!J22)</f>
        <v>0.1226666666666669</v>
      </c>
      <c r="AK22" s="3">
        <f>(E4b!L22-Y22-(E4b!K22-X22))/(E4b!L22-E4b!K22)</f>
        <v>0.18799999999999989</v>
      </c>
      <c r="AL22" s="3">
        <f>(E4b!M22-Z22-(E4b!L22-Y22))/(E4b!M22-E4b!L22)</f>
        <v>0.21249999999999999</v>
      </c>
      <c r="AM22" s="3">
        <f>(E4b!N22-AA22-(E4b!M22-Z22))/(E4b!N22-E4b!M22)</f>
        <v>0.20039999999999999</v>
      </c>
    </row>
    <row r="23" spans="1:39" ht="15.75" customHeight="1" x14ac:dyDescent="0.25">
      <c r="A23" s="21">
        <v>2045</v>
      </c>
      <c r="B23" s="27">
        <f t="shared" si="1"/>
        <v>0</v>
      </c>
      <c r="C23" s="27">
        <f t="shared" si="2"/>
        <v>0</v>
      </c>
      <c r="D23" s="27">
        <f t="shared" si="3"/>
        <v>0</v>
      </c>
      <c r="E23" s="27">
        <f t="shared" si="4"/>
        <v>1.6666666666666663E-2</v>
      </c>
      <c r="F23" s="27">
        <f t="shared" si="5"/>
        <v>2.6666666666666661E-2</v>
      </c>
      <c r="G23" s="27">
        <f t="shared" si="6"/>
        <v>4.3333333333333321E-2</v>
      </c>
      <c r="H23" s="27">
        <f t="shared" si="7"/>
        <v>5.3333333333333323E-2</v>
      </c>
      <c r="I23" s="27">
        <f t="shared" si="8"/>
        <v>7.3333333333333375E-2</v>
      </c>
      <c r="J23" s="27">
        <f t="shared" si="9"/>
        <v>9.6666666666666623E-2</v>
      </c>
      <c r="K23" s="27">
        <f t="shared" si="10"/>
        <v>0.1133333333333334</v>
      </c>
      <c r="L23" s="27">
        <f t="shared" si="11"/>
        <v>0.15</v>
      </c>
      <c r="M23" s="27">
        <f t="shared" si="12"/>
        <v>0.2</v>
      </c>
      <c r="N23" s="1"/>
      <c r="O23">
        <f>(1-B23)*E4b!B23</f>
        <v>4.3333333333333357</v>
      </c>
      <c r="P23">
        <f>(1-C23)*E4b!C23</f>
        <v>5.9999999999999982</v>
      </c>
      <c r="Q23">
        <f>(1-D23)*E4b!D23</f>
        <v>8.6666666666666714</v>
      </c>
      <c r="R23">
        <f>(1-E23)*E4b!E23</f>
        <v>10.488888888888894</v>
      </c>
      <c r="S23">
        <f>(1-F23)*E4b!F23</f>
        <v>14.600000000000001</v>
      </c>
      <c r="T23" s="70">
        <f>(1-G23)*E4b!G23</f>
        <v>19.133333333333333</v>
      </c>
      <c r="U23" s="70">
        <f>(1-H23)*E4b!H23</f>
        <v>47.333333333333336</v>
      </c>
      <c r="V23" s="70">
        <f>(1-I23)*E4b!I23</f>
        <v>92.666666666666657</v>
      </c>
      <c r="W23" s="70">
        <f>(1-J23)*E4b!J23</f>
        <v>180.66666666666666</v>
      </c>
      <c r="X23" s="70">
        <f>(1-K23)*E4b!K23</f>
        <v>443.33333333333331</v>
      </c>
      <c r="Y23">
        <f>(1-L23)*E4b!L23</f>
        <v>850</v>
      </c>
      <c r="Z23">
        <f>(1-M23)*E4b!M23</f>
        <v>4000</v>
      </c>
      <c r="AA23">
        <v>2</v>
      </c>
      <c r="AB23" s="3">
        <f>(E4b!C23-P23-(E4b!B23-O23))/(E4b!C23-E4b!B23)</f>
        <v>0</v>
      </c>
      <c r="AC23" s="3">
        <f>(E4b!D23-Q23-(E4b!C23-P23))/(E4b!D23-E4b!C23)</f>
        <v>0</v>
      </c>
      <c r="AD23" s="68">
        <f>(E4b!E23-R23-(E4b!D23-Q23))/(E4b!E23-E4b!D23)</f>
        <v>8.8888888888888573E-2</v>
      </c>
      <c r="AE23" s="68">
        <f>(E4b!F23-S23-(E4b!E23-R23))/(E4b!F23-E4b!E23)</f>
        <v>5.1282051282051155E-2</v>
      </c>
      <c r="AF23" s="68">
        <f>(E4b!G23-T23-(E4b!F23-S23))/(E4b!G23-E4b!F23)</f>
        <v>9.3333333333333712E-2</v>
      </c>
      <c r="AG23" s="68">
        <f>(E4b!H23-U23-(E4b!G23-T23))/(E4b!H23-E4b!G23)</f>
        <v>5.9999999999999908E-2</v>
      </c>
      <c r="AH23" s="3">
        <f>(E4b!I23-V23-(E4b!H23-U23))/(E4b!I23-E4b!H23)</f>
        <v>9.3333333333333574E-2</v>
      </c>
      <c r="AI23" s="3">
        <f>(E4b!J23-W23-(E4b!I23-V23))/(E4b!J23-E4b!I23)</f>
        <v>0.12</v>
      </c>
      <c r="AJ23" s="3">
        <f>(E4b!K23-X23-(E4b!J23-W23))/(E4b!K23-E4b!J23)</f>
        <v>0.12444444444444448</v>
      </c>
      <c r="AK23" s="3">
        <f>(E4b!L23-Y23-(E4b!K23-X23))/(E4b!L23-E4b!K23)</f>
        <v>0.18666666666666662</v>
      </c>
      <c r="AL23" s="3">
        <f>(E4b!M23-Z23-(E4b!L23-Y23))/(E4b!M23-E4b!L23)</f>
        <v>0.21249999999999999</v>
      </c>
      <c r="AM23" s="3">
        <f>(E4b!N23-AA23-(E4b!M23-Z23))/(E4b!N23-E4b!M23)</f>
        <v>0.20039999999999999</v>
      </c>
    </row>
    <row r="24" spans="1:39" ht="15.75" customHeight="1" x14ac:dyDescent="0.25">
      <c r="A24" s="21">
        <v>2046</v>
      </c>
      <c r="B24" s="27">
        <f t="shared" si="1"/>
        <v>0</v>
      </c>
      <c r="C24" s="27">
        <f t="shared" si="2"/>
        <v>0</v>
      </c>
      <c r="D24" s="27">
        <f t="shared" si="3"/>
        <v>0</v>
      </c>
      <c r="E24" s="27">
        <f t="shared" si="4"/>
        <v>1.7333333333333329E-2</v>
      </c>
      <c r="F24" s="27">
        <f t="shared" si="5"/>
        <v>2.7333333333333328E-2</v>
      </c>
      <c r="G24" s="27">
        <f t="shared" si="6"/>
        <v>4.4666666666666653E-2</v>
      </c>
      <c r="H24" s="27">
        <f t="shared" si="7"/>
        <v>5.4666666666666655E-2</v>
      </c>
      <c r="I24" s="27">
        <f t="shared" si="8"/>
        <v>7.4666666666666714E-2</v>
      </c>
      <c r="J24" s="27">
        <f t="shared" si="9"/>
        <v>9.7333333333333286E-2</v>
      </c>
      <c r="K24" s="27">
        <f t="shared" si="10"/>
        <v>0.11466666666666674</v>
      </c>
      <c r="L24" s="27">
        <f t="shared" si="11"/>
        <v>0.15</v>
      </c>
      <c r="M24" s="27">
        <f t="shared" si="12"/>
        <v>0.2</v>
      </c>
      <c r="N24" s="1"/>
      <c r="O24">
        <f>(1-B24)*E4b!B24</f>
        <v>4.2666666666666693</v>
      </c>
      <c r="P24">
        <f>(1-C24)*E4b!C24</f>
        <v>5.799999999999998</v>
      </c>
      <c r="Q24">
        <f>(1-D24)*E4b!D24</f>
        <v>8.5333333333333385</v>
      </c>
      <c r="R24">
        <f>(1-E24)*E4b!E24</f>
        <v>10.35075555555556</v>
      </c>
      <c r="S24">
        <f>(1-F24)*E4b!F24</f>
        <v>14.59</v>
      </c>
      <c r="T24" s="70">
        <f>(1-G24)*E4b!G24</f>
        <v>19.106666666666669</v>
      </c>
      <c r="U24" s="70">
        <f>(1-H24)*E4b!H24</f>
        <v>47.266666666666666</v>
      </c>
      <c r="V24" s="70">
        <f>(1-I24)*E4b!I24</f>
        <v>92.533333333333331</v>
      </c>
      <c r="W24" s="70">
        <f>(1-J24)*E4b!J24</f>
        <v>180.53333333333336</v>
      </c>
      <c r="X24" s="70">
        <f>(1-K24)*E4b!K24</f>
        <v>442.66666666666663</v>
      </c>
      <c r="Y24">
        <f>(1-L24)*E4b!L24</f>
        <v>850</v>
      </c>
      <c r="Z24">
        <f>(1-M24)*E4b!M24</f>
        <v>4000</v>
      </c>
      <c r="AA24">
        <v>2</v>
      </c>
      <c r="AB24" s="3">
        <f>(E4b!C24-P24-(E4b!B24-O24))/(E4b!C24-E4b!B24)</f>
        <v>0</v>
      </c>
      <c r="AC24" s="3">
        <f>(E4b!D24-Q24-(E4b!C24-P24))/(E4b!D24-E4b!C24)</f>
        <v>0</v>
      </c>
      <c r="AD24" s="68">
        <f>(E4b!E24-R24-(E4b!D24-Q24))/(E4b!E24-E4b!D24)</f>
        <v>9.1288888888889197E-2</v>
      </c>
      <c r="AE24" s="68">
        <f>(E4b!F24-S24-(E4b!E24-R24))/(E4b!F24-E4b!E24)</f>
        <v>5.091542288557209E-2</v>
      </c>
      <c r="AF24" s="68">
        <f>(E4b!G24-T24-(E4b!F24-S24))/(E4b!G24-E4b!F24)</f>
        <v>9.6666666666666151E-2</v>
      </c>
      <c r="AG24" s="68">
        <f>(E4b!H24-U24-(E4b!G24-T24))/(E4b!H24-E4b!G24)</f>
        <v>6.1333333333333448E-2</v>
      </c>
      <c r="AH24" s="3">
        <f>(E4b!I24-V24-(E4b!H24-U24))/(E4b!I24-E4b!H24)</f>
        <v>9.4666666666666691E-2</v>
      </c>
      <c r="AI24" s="3">
        <f>(E4b!J24-W24-(E4b!I24-V24))/(E4b!J24-E4b!I24)</f>
        <v>0.11999999999999972</v>
      </c>
      <c r="AJ24" s="3">
        <f>(E4b!K24-X24-(E4b!J24-W24))/(E4b!K24-E4b!J24)</f>
        <v>0.12622222222222243</v>
      </c>
      <c r="AK24" s="3">
        <f>(E4b!L24-Y24-(E4b!K24-X24))/(E4b!L24-E4b!K24)</f>
        <v>0.18533333333333327</v>
      </c>
      <c r="AL24" s="3">
        <f>(E4b!M24-Z24-(E4b!L24-Y24))/(E4b!M24-E4b!L24)</f>
        <v>0.21249999999999999</v>
      </c>
      <c r="AM24" s="3">
        <f>(E4b!N24-AA24-(E4b!M24-Z24))/(E4b!N24-E4b!M24)</f>
        <v>0.20039999999999999</v>
      </c>
    </row>
    <row r="25" spans="1:39" ht="15.75" customHeight="1" x14ac:dyDescent="0.25">
      <c r="A25" s="21">
        <v>2047</v>
      </c>
      <c r="B25" s="27">
        <f t="shared" si="1"/>
        <v>0</v>
      </c>
      <c r="C25" s="27">
        <f t="shared" si="2"/>
        <v>0</v>
      </c>
      <c r="D25" s="27">
        <f t="shared" si="3"/>
        <v>0</v>
      </c>
      <c r="E25" s="27">
        <f t="shared" si="4"/>
        <v>1.7999999999999995E-2</v>
      </c>
      <c r="F25" s="27">
        <f t="shared" si="5"/>
        <v>2.7999999999999994E-2</v>
      </c>
      <c r="G25" s="27">
        <f t="shared" si="6"/>
        <v>4.5999999999999985E-2</v>
      </c>
      <c r="H25" s="27">
        <f t="shared" si="7"/>
        <v>5.5999999999999987E-2</v>
      </c>
      <c r="I25" s="27">
        <f t="shared" si="8"/>
        <v>7.6000000000000054E-2</v>
      </c>
      <c r="J25" s="27">
        <f t="shared" si="9"/>
        <v>9.7999999999999948E-2</v>
      </c>
      <c r="K25" s="27">
        <f t="shared" si="10"/>
        <v>0.11600000000000008</v>
      </c>
      <c r="L25" s="27">
        <f t="shared" si="11"/>
        <v>0.15</v>
      </c>
      <c r="M25" s="27">
        <f t="shared" si="12"/>
        <v>0.2</v>
      </c>
      <c r="N25" s="1"/>
      <c r="O25">
        <f>(1-B25)*E4b!B25</f>
        <v>4.2000000000000028</v>
      </c>
      <c r="P25">
        <f>(1-C25)*E4b!C25</f>
        <v>5.5999999999999979</v>
      </c>
      <c r="Q25">
        <f>(1-D25)*E4b!D25</f>
        <v>8.4000000000000057</v>
      </c>
      <c r="R25">
        <f>(1-E25)*E4b!E25</f>
        <v>10.212800000000005</v>
      </c>
      <c r="S25">
        <f>(1-F25)*E4b!F25</f>
        <v>14.58</v>
      </c>
      <c r="T25" s="70">
        <f>(1-G25)*E4b!G25</f>
        <v>19.079999999999998</v>
      </c>
      <c r="U25" s="70">
        <f>(1-H25)*E4b!H25</f>
        <v>47.2</v>
      </c>
      <c r="V25" s="70">
        <f>(1-I25)*E4b!I25</f>
        <v>92.399999999999991</v>
      </c>
      <c r="W25" s="70">
        <f>(1-J25)*E4b!J25</f>
        <v>180.4</v>
      </c>
      <c r="X25" s="70">
        <f>(1-K25)*E4b!K25</f>
        <v>441.99999999999994</v>
      </c>
      <c r="Y25">
        <f>(1-L25)*E4b!L25</f>
        <v>850</v>
      </c>
      <c r="Z25">
        <f>(1-M25)*E4b!M25</f>
        <v>4000</v>
      </c>
      <c r="AA25">
        <v>2</v>
      </c>
      <c r="AB25" s="3">
        <f>(E4b!C25-P25-(E4b!B25-O25))/(E4b!C25-E4b!B25)</f>
        <v>0</v>
      </c>
      <c r="AC25" s="3">
        <f>(E4b!D25-Q25-(E4b!C25-P25))/(E4b!D25-E4b!C25)</f>
        <v>0</v>
      </c>
      <c r="AD25" s="68">
        <f>(E4b!E25-R25-(E4b!D25-Q25))/(E4b!E25-E4b!D25)</f>
        <v>9.360000000000035E-2</v>
      </c>
      <c r="AE25" s="68">
        <f>(E4b!F25-S25-(E4b!E25-R25))/(E4b!F25-E4b!E25)</f>
        <v>5.060869565217381E-2</v>
      </c>
      <c r="AF25" s="68">
        <f>(E4b!G25-T25-(E4b!F25-S25))/(E4b!G25-E4b!F25)</f>
        <v>0.10000000000000035</v>
      </c>
      <c r="AG25" s="68">
        <f>(E4b!H25-U25-(E4b!G25-T25))/(E4b!H25-E4b!G25)</f>
        <v>6.266666666666651E-2</v>
      </c>
      <c r="AH25" s="3">
        <f>(E4b!I25-V25-(E4b!H25-U25))/(E4b!I25-E4b!H25)</f>
        <v>9.6000000000000224E-2</v>
      </c>
      <c r="AI25" s="3">
        <f>(E4b!J25-W25-(E4b!I25-V25))/(E4b!J25-E4b!I25)</f>
        <v>0.11999999999999986</v>
      </c>
      <c r="AJ25" s="3">
        <f>(E4b!K25-X25-(E4b!J25-W25))/(E4b!K25-E4b!J25)</f>
        <v>0.1280000000000002</v>
      </c>
      <c r="AK25" s="3">
        <f>(E4b!L25-Y25-(E4b!K25-X25))/(E4b!L25-E4b!K25)</f>
        <v>0.18399999999999989</v>
      </c>
      <c r="AL25" s="3">
        <f>(E4b!M25-Z25-(E4b!L25-Y25))/(E4b!M25-E4b!L25)</f>
        <v>0.21249999999999999</v>
      </c>
      <c r="AM25" s="3">
        <f>(E4b!N25-AA25-(E4b!M25-Z25))/(E4b!N25-E4b!M25)</f>
        <v>0.20039999999999999</v>
      </c>
    </row>
    <row r="26" spans="1:39" ht="15.75" customHeight="1" x14ac:dyDescent="0.25">
      <c r="A26" s="21">
        <v>2048</v>
      </c>
      <c r="B26" s="27">
        <f t="shared" si="1"/>
        <v>0</v>
      </c>
      <c r="C26" s="27">
        <f t="shared" si="2"/>
        <v>0</v>
      </c>
      <c r="D26" s="27">
        <f t="shared" si="3"/>
        <v>0</v>
      </c>
      <c r="E26" s="27">
        <f t="shared" si="4"/>
        <v>1.8666666666666661E-2</v>
      </c>
      <c r="F26" s="27">
        <f t="shared" si="5"/>
        <v>2.866666666666666E-2</v>
      </c>
      <c r="G26" s="27">
        <f t="shared" si="6"/>
        <v>4.7333333333333318E-2</v>
      </c>
      <c r="H26" s="27">
        <f t="shared" si="7"/>
        <v>5.7333333333333319E-2</v>
      </c>
      <c r="I26" s="27">
        <f t="shared" si="8"/>
        <v>7.7333333333333393E-2</v>
      </c>
      <c r="J26" s="27">
        <f t="shared" si="9"/>
        <v>9.8666666666666611E-2</v>
      </c>
      <c r="K26" s="27">
        <f t="shared" si="10"/>
        <v>0.11733333333333341</v>
      </c>
      <c r="L26" s="27">
        <f t="shared" si="11"/>
        <v>0.15</v>
      </c>
      <c r="M26" s="27">
        <f t="shared" si="12"/>
        <v>0.2</v>
      </c>
      <c r="N26" s="1"/>
      <c r="O26">
        <f>(1-B26)*E4b!B26</f>
        <v>4.1333333333333364</v>
      </c>
      <c r="P26">
        <f>(1-C26)*E4b!C26</f>
        <v>5.3999999999999977</v>
      </c>
      <c r="Q26">
        <f>(1-D26)*E4b!D26</f>
        <v>8.2666666666666728</v>
      </c>
      <c r="R26">
        <f>(1-E26)*E4b!E26</f>
        <v>10.075022222222229</v>
      </c>
      <c r="S26">
        <f>(1-F26)*E4b!F26</f>
        <v>14.57</v>
      </c>
      <c r="T26" s="70">
        <f>(1-G26)*E4b!G26</f>
        <v>19.053333333333335</v>
      </c>
      <c r="U26" s="70">
        <f>(1-H26)*E4b!H26</f>
        <v>47.133333333333333</v>
      </c>
      <c r="V26" s="70">
        <f>(1-I26)*E4b!I26</f>
        <v>92.266666666666666</v>
      </c>
      <c r="W26" s="70">
        <f>(1-J26)*E4b!J26</f>
        <v>180.26666666666668</v>
      </c>
      <c r="X26" s="70">
        <f>(1-K26)*E4b!K26</f>
        <v>441.33333333333331</v>
      </c>
      <c r="Y26">
        <f>(1-L26)*E4b!L26</f>
        <v>850</v>
      </c>
      <c r="Z26">
        <f>(1-M26)*E4b!M26</f>
        <v>4000</v>
      </c>
      <c r="AA26">
        <v>2</v>
      </c>
      <c r="AB26" s="3">
        <f>(E4b!C26-P26-(E4b!B26-O26))/(E4b!C26-E4b!B26)</f>
        <v>0</v>
      </c>
      <c r="AC26" s="3">
        <f>(E4b!D26-Q26-(E4b!C26-P26))/(E4b!D26-E4b!C26)</f>
        <v>0</v>
      </c>
      <c r="AD26" s="68">
        <f>(E4b!E26-R26-(E4b!D26-Q26))/(E4b!E26-E4b!D26)</f>
        <v>9.5822222222222031E-2</v>
      </c>
      <c r="AE26" s="68">
        <f>(E4b!F26-S26-(E4b!E26-R26))/(E4b!F26-E4b!E26)</f>
        <v>5.0356807511737177E-2</v>
      </c>
      <c r="AF26" s="68">
        <f>(E4b!G26-T26-(E4b!F26-S26))/(E4b!G26-E4b!F26)</f>
        <v>0.10333333333333314</v>
      </c>
      <c r="AG26" s="68">
        <f>(E4b!H26-U26-(E4b!G26-T26))/(E4b!H26-E4b!G26)</f>
        <v>6.4000000000000057E-2</v>
      </c>
      <c r="AH26" s="3">
        <f>(E4b!I26-V26-(E4b!H26-U26))/(E4b!I26-E4b!H26)</f>
        <v>9.7333333333333341E-2</v>
      </c>
      <c r="AI26" s="3">
        <f>(E4b!J26-W26-(E4b!I26-V26))/(E4b!J26-E4b!I26)</f>
        <v>0.11999999999999986</v>
      </c>
      <c r="AJ26" s="3">
        <f>(E4b!K26-X26-(E4b!J26-W26))/(E4b!K26-E4b!J26)</f>
        <v>0.12977777777777788</v>
      </c>
      <c r="AK26" s="3">
        <f>(E4b!L26-Y26-(E4b!K26-X26))/(E4b!L26-E4b!K26)</f>
        <v>0.18266666666666662</v>
      </c>
      <c r="AL26" s="3">
        <f>(E4b!M26-Z26-(E4b!L26-Y26))/(E4b!M26-E4b!L26)</f>
        <v>0.21249999999999999</v>
      </c>
      <c r="AM26" s="3">
        <f>(E4b!N26-AA26-(E4b!M26-Z26))/(E4b!N26-E4b!M26)</f>
        <v>0.20039999999999999</v>
      </c>
    </row>
    <row r="27" spans="1:39" ht="15.75" customHeight="1" x14ac:dyDescent="0.25">
      <c r="A27" s="21">
        <v>2049</v>
      </c>
      <c r="B27" s="27">
        <f t="shared" si="1"/>
        <v>0</v>
      </c>
      <c r="C27" s="27">
        <f t="shared" si="2"/>
        <v>0</v>
      </c>
      <c r="D27" s="27">
        <f t="shared" si="3"/>
        <v>0</v>
      </c>
      <c r="E27" s="27">
        <f t="shared" si="4"/>
        <v>1.9333333333333327E-2</v>
      </c>
      <c r="F27" s="27">
        <f t="shared" si="5"/>
        <v>2.9333333333333326E-2</v>
      </c>
      <c r="G27" s="27">
        <f t="shared" si="6"/>
        <v>4.866666666666665E-2</v>
      </c>
      <c r="H27" s="27">
        <f t="shared" si="7"/>
        <v>5.8666666666666652E-2</v>
      </c>
      <c r="I27" s="27">
        <f t="shared" si="8"/>
        <v>7.8666666666666732E-2</v>
      </c>
      <c r="J27" s="27">
        <f t="shared" si="9"/>
        <v>9.9333333333333274E-2</v>
      </c>
      <c r="K27" s="27">
        <f t="shared" si="10"/>
        <v>0.11866666666666675</v>
      </c>
      <c r="L27" s="27">
        <f t="shared" si="11"/>
        <v>0.15</v>
      </c>
      <c r="M27" s="27">
        <f t="shared" si="12"/>
        <v>0.2</v>
      </c>
      <c r="N27" s="1"/>
      <c r="O27">
        <f>(1-B27)*E4b!B27</f>
        <v>4.06666666666667</v>
      </c>
      <c r="P27">
        <f>(1-C27)*E4b!C27</f>
        <v>5.1999999999999975</v>
      </c>
      <c r="Q27">
        <f>(1-D27)*E4b!D27</f>
        <v>8.13333333333334</v>
      </c>
      <c r="R27">
        <f>(1-E27)*E4b!E27</f>
        <v>9.9374222222222297</v>
      </c>
      <c r="S27">
        <f>(1-F27)*E4b!F27</f>
        <v>14.56</v>
      </c>
      <c r="T27" s="70">
        <f>(1-G27)*E4b!G27</f>
        <v>19.026666666666667</v>
      </c>
      <c r="U27" s="70">
        <f>(1-H27)*E4b!H27</f>
        <v>47.06666666666667</v>
      </c>
      <c r="V27" s="70">
        <f>(1-I27)*E4b!I27</f>
        <v>92.133333333333326</v>
      </c>
      <c r="W27" s="70">
        <f>(1-J27)*E4b!J27</f>
        <v>180.13333333333335</v>
      </c>
      <c r="X27" s="70">
        <f>(1-K27)*E4b!K27</f>
        <v>440.66666666666663</v>
      </c>
      <c r="Y27">
        <f>(1-L27)*E4b!L27</f>
        <v>850</v>
      </c>
      <c r="Z27">
        <f>(1-M27)*E4b!M27</f>
        <v>4000</v>
      </c>
      <c r="AA27">
        <v>2</v>
      </c>
      <c r="AB27" s="3">
        <f>(E4b!C27-P27-(E4b!B27-O27))/(E4b!C27-E4b!B27)</f>
        <v>0</v>
      </c>
      <c r="AC27" s="3">
        <f>(E4b!D27-Q27-(E4b!C27-P27))/(E4b!D27-E4b!C27)</f>
        <v>0</v>
      </c>
      <c r="AD27" s="68">
        <f>(E4b!E27-R27-(E4b!D27-Q27))/(E4b!E27-E4b!D27)</f>
        <v>9.7955555555555129E-2</v>
      </c>
      <c r="AE27" s="68">
        <f>(E4b!F27-S27-(E4b!E27-R27))/(E4b!F27-E4b!E27)</f>
        <v>5.0155251141552649E-2</v>
      </c>
      <c r="AF27" s="68">
        <f>(E4b!G27-T27-(E4b!F27-S27))/(E4b!G27-E4b!F27)</f>
        <v>0.10666666666666665</v>
      </c>
      <c r="AG27" s="68">
        <f>(E4b!H27-U27-(E4b!G27-T27))/(E4b!H27-E4b!G27)</f>
        <v>6.5333333333333243E-2</v>
      </c>
      <c r="AH27" s="3">
        <f>(E4b!I27-V27-(E4b!H27-U27))/(E4b!I27-E4b!H27)</f>
        <v>9.8666666666666888E-2</v>
      </c>
      <c r="AI27" s="3">
        <f>(E4b!J27-W27-(E4b!I27-V27))/(E4b!J27-E4b!I27)</f>
        <v>0.11999999999999972</v>
      </c>
      <c r="AJ27" s="3">
        <f>(E4b!K27-X27-(E4b!J27-W27))/(E4b!K27-E4b!J27)</f>
        <v>0.13155555555555576</v>
      </c>
      <c r="AK27" s="3">
        <f>(E4b!L27-Y27-(E4b!K27-X27))/(E4b!L27-E4b!K27)</f>
        <v>0.18133333333333326</v>
      </c>
      <c r="AL27" s="3">
        <f>(E4b!M27-Z27-(E4b!L27-Y27))/(E4b!M27-E4b!L27)</f>
        <v>0.21249999999999999</v>
      </c>
      <c r="AM27" s="3">
        <f>(E4b!N27-AA27-(E4b!M27-Z27))/(E4b!N27-E4b!M27)</f>
        <v>0.20039999999999999</v>
      </c>
    </row>
    <row r="28" spans="1:39" ht="15.75" customHeight="1" x14ac:dyDescent="0.25">
      <c r="A28" s="21">
        <v>2050</v>
      </c>
      <c r="B28" s="28">
        <v>0</v>
      </c>
      <c r="C28" s="28">
        <v>0</v>
      </c>
      <c r="D28" s="28">
        <v>0</v>
      </c>
      <c r="E28" s="28">
        <v>0.02</v>
      </c>
      <c r="F28" s="28">
        <v>0.03</v>
      </c>
      <c r="G28" s="28">
        <v>0.05</v>
      </c>
      <c r="H28" s="28">
        <v>0.06</v>
      </c>
      <c r="I28" s="28">
        <v>0.08</v>
      </c>
      <c r="J28" s="28">
        <v>0.1</v>
      </c>
      <c r="K28" s="28">
        <v>0.12</v>
      </c>
      <c r="L28" s="28">
        <v>0.15</v>
      </c>
      <c r="M28" s="28">
        <v>0.2</v>
      </c>
      <c r="N28" s="1"/>
      <c r="O28">
        <f>(1-B28)*E4b!B28</f>
        <v>4</v>
      </c>
      <c r="P28">
        <f>(1-C28)*E4b!C28</f>
        <v>5</v>
      </c>
      <c r="Q28">
        <f>(1-D28)*E4b!D28</f>
        <v>8</v>
      </c>
      <c r="R28">
        <f>(1-E28)*E4b!E28</f>
        <v>9.8000000000000007</v>
      </c>
      <c r="S28">
        <f>(1-F28)*E4b!F28</f>
        <v>14.549999999999999</v>
      </c>
      <c r="T28">
        <f>(1-G28)*E4b!G28</f>
        <v>19</v>
      </c>
      <c r="U28">
        <f>(1-H28)*E4b!H28</f>
        <v>47</v>
      </c>
      <c r="V28">
        <f>(1-I28)*E4b!I28</f>
        <v>92</v>
      </c>
      <c r="W28">
        <f>(1-J28)*E4b!J28</f>
        <v>180</v>
      </c>
      <c r="X28">
        <f>(1-K28)*E4b!K28</f>
        <v>440</v>
      </c>
      <c r="Y28">
        <f>(1-L28)*E4b!L28</f>
        <v>850</v>
      </c>
      <c r="Z28">
        <f>(1-M28)*E4b!M28</f>
        <v>4000</v>
      </c>
      <c r="AA28">
        <v>2</v>
      </c>
      <c r="AB28" s="3">
        <f>(E4b!C28-P28-(E4b!B28-O28))/(E4b!C28-E4b!B28)</f>
        <v>0</v>
      </c>
      <c r="AC28" s="3">
        <f>(E4b!D28-Q28-(E4b!C28-P28))/(E4b!D28-E4b!C28)</f>
        <v>0</v>
      </c>
      <c r="AD28" s="68">
        <f>(E4b!E28-R28-(E4b!D28-Q28))/(E4b!E28-E4b!D28)</f>
        <v>9.9999999999999645E-2</v>
      </c>
      <c r="AE28" s="68">
        <f>(E4b!F28-S28-(E4b!E28-R28))/(E4b!F28-E4b!E28)</f>
        <v>5.0000000000000357E-2</v>
      </c>
      <c r="AF28" s="68">
        <f>(E4b!G28-T28-(E4b!F28-S28))/(E4b!G28-E4b!F28)</f>
        <v>0.10999999999999979</v>
      </c>
      <c r="AG28" s="68">
        <f>(E4b!H28-U28-(E4b!G28-T28))/(E4b!H28-E4b!G28)</f>
        <v>6.6666666666666666E-2</v>
      </c>
      <c r="AH28" s="3">
        <f>(E4b!I28-V28-(E4b!H28-U28))/(E4b!I28-E4b!H28)</f>
        <v>0.1</v>
      </c>
      <c r="AI28" s="3">
        <f>(E4b!J28-W28-(E4b!I28-V28))/(E4b!J28-E4b!I28)</f>
        <v>0.12</v>
      </c>
      <c r="AJ28" s="3">
        <f>(E4b!K28-X28-(E4b!J28-W28))/(E4b!K28-E4b!J28)</f>
        <v>0.13333333333333333</v>
      </c>
      <c r="AK28" s="3">
        <f>(E4b!L28-Y28-(E4b!K28-X28))/(E4b!L28-E4b!K28)</f>
        <v>0.18</v>
      </c>
      <c r="AL28" s="3">
        <f>(E4b!M28-Z28-(E4b!L28-Y28))/(E4b!M28-E4b!L28)</f>
        <v>0.21249999999999999</v>
      </c>
      <c r="AM28" s="3">
        <f>(E4b!N28-AA28-(E4b!M28-Z28))/(E4b!N28-E4b!M28)</f>
        <v>0.20039999999999999</v>
      </c>
    </row>
    <row r="29" spans="1:39" ht="15.75" customHeight="1" x14ac:dyDescent="0.25">
      <c r="A29" s="21">
        <v>2051</v>
      </c>
      <c r="B29" s="27">
        <f t="shared" ref="B29:B47" si="13">B28+(B$48-B$28)/20</f>
        <v>0</v>
      </c>
      <c r="C29" s="27">
        <f t="shared" ref="C29:C47" si="14">C28+(C$48-C$28)/20</f>
        <v>0</v>
      </c>
      <c r="D29" s="27">
        <f t="shared" ref="D29:D47" si="15">D28+(D$48-D$28)/20</f>
        <v>0</v>
      </c>
      <c r="E29" s="27">
        <f t="shared" ref="E29:E47" si="16">E28+(E$48-E$28)/20</f>
        <v>2.1500000000000002E-2</v>
      </c>
      <c r="F29" s="27">
        <f t="shared" ref="F29:F47" si="17">F28+(F$48-F$28)/20</f>
        <v>3.1E-2</v>
      </c>
      <c r="G29" s="27">
        <f t="shared" ref="G29:G47" si="18">G28+(G$48-G$28)/20</f>
        <v>5.2500000000000005E-2</v>
      </c>
      <c r="H29" s="27">
        <f t="shared" ref="H29:H47" si="19">H28+(H$48-H$28)/20</f>
        <v>6.2E-2</v>
      </c>
      <c r="I29" s="27">
        <f t="shared" ref="I29:I47" si="20">I28+(I$48-I$28)/20</f>
        <v>8.3500000000000005E-2</v>
      </c>
      <c r="J29" s="27">
        <f t="shared" ref="J29:J47" si="21">J28+(J$48-J$28)/20</f>
        <v>0.10250000000000001</v>
      </c>
      <c r="K29" s="27">
        <f t="shared" ref="K29:K47" si="22">K28+(K$48-K$28)/20</f>
        <v>0.124</v>
      </c>
      <c r="L29" s="27">
        <f t="shared" ref="L29:L47" si="23">L28+(L$48-L$28)/20</f>
        <v>0.1525</v>
      </c>
      <c r="M29" s="27">
        <f t="shared" ref="M29:M47" si="24">M28+(M$48-M$28)/20</f>
        <v>0.2</v>
      </c>
      <c r="N29" s="1"/>
      <c r="O29">
        <f>(1-B29)*E4b!B29</f>
        <v>3.95</v>
      </c>
      <c r="P29">
        <f>(1-C29)*E4b!C29</f>
        <v>4.95</v>
      </c>
      <c r="Q29">
        <f>(1-D29)*E4b!D29</f>
        <v>7.95</v>
      </c>
      <c r="R29">
        <f>(1-E29)*E4b!E29</f>
        <v>9.7360749999999996</v>
      </c>
      <c r="S29" s="2">
        <f>(1-F29)*E4b!F29</f>
        <v>14.38965</v>
      </c>
      <c r="T29">
        <f>(1-G29)*E4b!G29</f>
        <v>18.95</v>
      </c>
      <c r="U29">
        <f>(1-H29)*E4b!H29</f>
        <v>46.9</v>
      </c>
      <c r="V29">
        <f>(1-I29)*E4b!I29</f>
        <v>91.649999999999991</v>
      </c>
      <c r="W29">
        <f>(1-J29)*E4b!J29</f>
        <v>179.5</v>
      </c>
      <c r="X29">
        <f>(1-K29)*E4b!K29</f>
        <v>438</v>
      </c>
      <c r="Y29">
        <f>(1-L29)*E4b!L29</f>
        <v>847.5</v>
      </c>
      <c r="Z29">
        <f>(1-M29)*E4b!M29</f>
        <v>4000</v>
      </c>
      <c r="AA29">
        <v>2</v>
      </c>
      <c r="AB29" s="3">
        <f>(E4b!C29-P29-(E4b!B29-O29))/(E4b!C29-E4b!B29)</f>
        <v>0</v>
      </c>
      <c r="AC29" s="3">
        <f>(E4b!D29-Q29-(E4b!C29-P29))/(E4b!D29-E4b!C29)</f>
        <v>0</v>
      </c>
      <c r="AD29" s="68">
        <f>(E4b!E29-R29-(E4b!D29-Q29))/(E4b!E29-E4b!D29)</f>
        <v>0.10696249999999989</v>
      </c>
      <c r="AE29" s="68">
        <f>(E4b!F29-S29-(E4b!E29-R29))/(E4b!F29-E4b!E29)</f>
        <v>5.029081632653068E-2</v>
      </c>
      <c r="AF29" s="68">
        <f>(E4b!G29-T29-(E4b!F29-S29))/(E4b!G29-E4b!F29)</f>
        <v>0.11449514563106808</v>
      </c>
      <c r="AG29" s="68">
        <f>(E4b!H29-U29-(E4b!G29-T29))/(E4b!H29-E4b!G29)</f>
        <v>6.8333333333333357E-2</v>
      </c>
      <c r="AH29" s="3">
        <f>(E4b!I29-V29-(E4b!H29-U29))/(E4b!I29-E4b!H29)</f>
        <v>0.10500000000000015</v>
      </c>
      <c r="AI29" s="3">
        <f>(E4b!J29-W29-(E4b!I29-V29))/(E4b!J29-E4b!I29)</f>
        <v>0.12149999999999991</v>
      </c>
      <c r="AJ29" s="3">
        <f>(E4b!K29-X29-(E4b!J29-W29))/(E4b!K29-E4b!J29)</f>
        <v>0.13833333333333334</v>
      </c>
      <c r="AK29" s="3">
        <f>(E4b!L29-Y29-(E4b!K29-X29))/(E4b!L29-E4b!K29)</f>
        <v>0.18099999999999999</v>
      </c>
      <c r="AL29" s="3">
        <f>(E4b!M29-Z29-(E4b!L29-Y29))/(E4b!M29-E4b!L29)</f>
        <v>0.21187500000000001</v>
      </c>
      <c r="AM29" s="3">
        <f>(E4b!N29-AA29-(E4b!M29-Z29))/(E4b!N29-E4b!M29)</f>
        <v>0.20039999999999999</v>
      </c>
    </row>
    <row r="30" spans="1:39" ht="15.75" customHeight="1" x14ac:dyDescent="0.25">
      <c r="A30" s="21">
        <v>2052</v>
      </c>
      <c r="B30" s="27">
        <f t="shared" si="13"/>
        <v>0</v>
      </c>
      <c r="C30" s="27">
        <f t="shared" si="14"/>
        <v>0</v>
      </c>
      <c r="D30" s="27">
        <f t="shared" si="15"/>
        <v>0</v>
      </c>
      <c r="E30" s="27">
        <f t="shared" si="16"/>
        <v>2.3000000000000003E-2</v>
      </c>
      <c r="F30" s="27">
        <f t="shared" si="17"/>
        <v>3.2000000000000001E-2</v>
      </c>
      <c r="G30" s="27">
        <f t="shared" si="18"/>
        <v>5.5000000000000007E-2</v>
      </c>
      <c r="H30" s="27">
        <f t="shared" si="19"/>
        <v>6.4000000000000001E-2</v>
      </c>
      <c r="I30" s="27">
        <f t="shared" si="20"/>
        <v>8.7000000000000008E-2</v>
      </c>
      <c r="J30" s="27">
        <f t="shared" si="21"/>
        <v>0.10500000000000001</v>
      </c>
      <c r="K30" s="27">
        <f t="shared" si="22"/>
        <v>0.128</v>
      </c>
      <c r="L30" s="27">
        <f t="shared" si="23"/>
        <v>0.155</v>
      </c>
      <c r="M30" s="27">
        <f t="shared" si="24"/>
        <v>0.2</v>
      </c>
      <c r="O30">
        <f>(1-B30)*E4b!B30</f>
        <v>3.9000000000000004</v>
      </c>
      <c r="P30">
        <f>(1-C30)*E4b!C30</f>
        <v>4.9000000000000004</v>
      </c>
      <c r="Q30">
        <f>(1-D30)*E4b!D30</f>
        <v>7.9</v>
      </c>
      <c r="R30">
        <f>(1-E30)*E4b!E30</f>
        <v>9.6722999999999981</v>
      </c>
      <c r="S30" s="2">
        <f>(1-F30)*E4b!F30</f>
        <v>14.2296</v>
      </c>
      <c r="T30">
        <f>(1-G30)*E4b!G30</f>
        <v>18.899999999999999</v>
      </c>
      <c r="U30">
        <f>(1-H30)*E4b!H30</f>
        <v>46.8</v>
      </c>
      <c r="V30">
        <f>(1-I30)*E4b!I30</f>
        <v>91.3</v>
      </c>
      <c r="W30">
        <f>(1-J30)*E4b!J30</f>
        <v>179</v>
      </c>
      <c r="X30">
        <f>(1-K30)*E4b!K30</f>
        <v>436</v>
      </c>
      <c r="Y30">
        <f>(1-L30)*E4b!L30</f>
        <v>845</v>
      </c>
      <c r="Z30">
        <f>(1-M30)*E4b!M30</f>
        <v>4000</v>
      </c>
      <c r="AA30">
        <v>2</v>
      </c>
      <c r="AB30" s="3">
        <f>(E4b!C30-P30-(E4b!B30-O30))/(E4b!C30-E4b!B30)</f>
        <v>0</v>
      </c>
      <c r="AC30" s="3">
        <f>(E4b!D30-Q30-(E4b!C30-P30))/(E4b!D30-E4b!C30)</f>
        <v>0</v>
      </c>
      <c r="AD30" s="68">
        <f>(E4b!E30-R30-(E4b!D30-Q30))/(E4b!E30-E4b!D30)</f>
        <v>0.11385000000000033</v>
      </c>
      <c r="AE30" s="68">
        <f>(E4b!F30-S30-(E4b!E30-R30))/(E4b!F30-E4b!E30)</f>
        <v>5.0562499999999837E-2</v>
      </c>
      <c r="AF30" s="68">
        <f>(E4b!G30-T30-(E4b!F30-S30))/(E4b!G30-E4b!F30)</f>
        <v>0.11879245283018898</v>
      </c>
      <c r="AG30" s="68">
        <f>(E4b!H30-U30-(E4b!G30-T30))/(E4b!H30-E4b!G30)</f>
        <v>7.0000000000000048E-2</v>
      </c>
      <c r="AH30" s="3">
        <f>(E4b!I30-V30-(E4b!H30-U30))/(E4b!I30-E4b!H30)</f>
        <v>0.11</v>
      </c>
      <c r="AI30" s="3">
        <f>(E4b!J30-W30-(E4b!I30-V30))/(E4b!J30-E4b!I30)</f>
        <v>0.12299999999999997</v>
      </c>
      <c r="AJ30" s="3">
        <f>(E4b!K30-X30-(E4b!J30-W30))/(E4b!K30-E4b!J30)</f>
        <v>0.14333333333333334</v>
      </c>
      <c r="AK30" s="3">
        <f>(E4b!L30-Y30-(E4b!K30-X30))/(E4b!L30-E4b!K30)</f>
        <v>0.182</v>
      </c>
      <c r="AL30" s="3">
        <f>(E4b!M30-Z30-(E4b!L30-Y30))/(E4b!M30-E4b!L30)</f>
        <v>0.21124999999999999</v>
      </c>
      <c r="AM30" s="3">
        <f>(E4b!N30-AA30-(E4b!M30-Z30))/(E4b!N30-E4b!M30)</f>
        <v>0.20039999999999999</v>
      </c>
    </row>
    <row r="31" spans="1:39" ht="15.75" customHeight="1" x14ac:dyDescent="0.25">
      <c r="A31" s="21">
        <v>2053</v>
      </c>
      <c r="B31" s="27">
        <f t="shared" si="13"/>
        <v>0</v>
      </c>
      <c r="C31" s="27">
        <f t="shared" si="14"/>
        <v>0</v>
      </c>
      <c r="D31" s="27">
        <f t="shared" si="15"/>
        <v>0</v>
      </c>
      <c r="E31" s="27">
        <f t="shared" si="16"/>
        <v>2.4500000000000004E-2</v>
      </c>
      <c r="F31" s="27">
        <f t="shared" si="17"/>
        <v>3.3000000000000002E-2</v>
      </c>
      <c r="G31" s="27">
        <f t="shared" si="18"/>
        <v>5.7500000000000009E-2</v>
      </c>
      <c r="H31" s="27">
        <f t="shared" si="19"/>
        <v>6.6000000000000003E-2</v>
      </c>
      <c r="I31" s="27">
        <f t="shared" si="20"/>
        <v>9.0500000000000011E-2</v>
      </c>
      <c r="J31" s="27">
        <f t="shared" si="21"/>
        <v>0.10750000000000001</v>
      </c>
      <c r="K31" s="27">
        <f t="shared" si="22"/>
        <v>0.13200000000000001</v>
      </c>
      <c r="L31" s="27">
        <f t="shared" si="23"/>
        <v>0.1575</v>
      </c>
      <c r="M31" s="27">
        <f t="shared" si="24"/>
        <v>0.2</v>
      </c>
      <c r="O31">
        <f>(1-B31)*E4b!B31</f>
        <v>3.8500000000000005</v>
      </c>
      <c r="P31">
        <f>(1-C31)*E4b!C31</f>
        <v>4.8500000000000005</v>
      </c>
      <c r="Q31">
        <f>(1-D31)*E4b!D31</f>
        <v>7.8500000000000005</v>
      </c>
      <c r="R31">
        <f>(1-E31)*E4b!E31</f>
        <v>9.6086749999999981</v>
      </c>
      <c r="S31" s="2">
        <f>(1-F31)*E4b!F31</f>
        <v>14.069849999999999</v>
      </c>
      <c r="T31">
        <f>(1-G31)*E4b!G31</f>
        <v>18.850000000000001</v>
      </c>
      <c r="U31">
        <f>(1-H31)*E4b!H31</f>
        <v>46.699999999999996</v>
      </c>
      <c r="V31">
        <f>(1-I31)*E4b!I31</f>
        <v>90.95</v>
      </c>
      <c r="W31">
        <f>(1-J31)*E4b!J31</f>
        <v>178.5</v>
      </c>
      <c r="X31">
        <f>(1-K31)*E4b!K31</f>
        <v>434</v>
      </c>
      <c r="Y31">
        <f>(1-L31)*E4b!L31</f>
        <v>842.5</v>
      </c>
      <c r="Z31">
        <f>(1-M31)*E4b!M31</f>
        <v>4000</v>
      </c>
      <c r="AA31">
        <v>2</v>
      </c>
      <c r="AB31" s="3">
        <f>(E4b!C31-P31-(E4b!B31-O31))/(E4b!C31-E4b!B31)</f>
        <v>0</v>
      </c>
      <c r="AC31" s="3">
        <f>(E4b!D31-Q31-(E4b!C31-P31))/(E4b!D31-E4b!C31)</f>
        <v>0</v>
      </c>
      <c r="AD31" s="68">
        <f>(E4b!E31-R31-(E4b!D31-Q31))/(E4b!E31-E4b!D31)</f>
        <v>0.12066250000000006</v>
      </c>
      <c r="AE31" s="68">
        <f>(E4b!F31-S31-(E4b!E31-R31))/(E4b!F31-E4b!E31)</f>
        <v>5.0813829787234095E-2</v>
      </c>
      <c r="AF31" s="68">
        <f>(E4b!G31-T31-(E4b!F31-S31))/(E4b!G31-E4b!F31)</f>
        <v>0.12290825688073365</v>
      </c>
      <c r="AG31" s="68">
        <f>(E4b!H31-U31-(E4b!G31-T31))/(E4b!H31-E4b!G31)</f>
        <v>7.1666666666666851E-2</v>
      </c>
      <c r="AH31" s="3">
        <f>(E4b!I31-V31-(E4b!H31-U31))/(E4b!I31-E4b!H31)</f>
        <v>0.11499999999999985</v>
      </c>
      <c r="AI31" s="3">
        <f>(E4b!J31-W31-(E4b!I31-V31))/(E4b!J31-E4b!I31)</f>
        <v>0.12450000000000003</v>
      </c>
      <c r="AJ31" s="3">
        <f>(E4b!K31-X31-(E4b!J31-W31))/(E4b!K31-E4b!J31)</f>
        <v>0.14833333333333334</v>
      </c>
      <c r="AK31" s="3">
        <f>(E4b!L31-Y31-(E4b!K31-X31))/(E4b!L31-E4b!K31)</f>
        <v>0.183</v>
      </c>
      <c r="AL31" s="3">
        <f>(E4b!M31-Z31-(E4b!L31-Y31))/(E4b!M31-E4b!L31)</f>
        <v>0.21062500000000001</v>
      </c>
      <c r="AM31" s="3">
        <f>(E4b!N31-AA31-(E4b!M31-Z31))/(E4b!N31-E4b!M31)</f>
        <v>0.20039999999999999</v>
      </c>
    </row>
    <row r="32" spans="1:39" ht="15.75" customHeight="1" x14ac:dyDescent="0.25">
      <c r="A32" s="21">
        <v>2054</v>
      </c>
      <c r="B32" s="27">
        <f t="shared" si="13"/>
        <v>0</v>
      </c>
      <c r="C32" s="27">
        <f t="shared" si="14"/>
        <v>0</v>
      </c>
      <c r="D32" s="27">
        <f t="shared" si="15"/>
        <v>0</v>
      </c>
      <c r="E32" s="27">
        <f t="shared" si="16"/>
        <v>2.6000000000000006E-2</v>
      </c>
      <c r="F32" s="27">
        <f t="shared" si="17"/>
        <v>3.4000000000000002E-2</v>
      </c>
      <c r="G32" s="27">
        <f t="shared" si="18"/>
        <v>6.0000000000000012E-2</v>
      </c>
      <c r="H32" s="27">
        <f t="shared" si="19"/>
        <v>6.8000000000000005E-2</v>
      </c>
      <c r="I32" s="27">
        <f t="shared" si="20"/>
        <v>9.4000000000000014E-2</v>
      </c>
      <c r="J32" s="27">
        <f t="shared" si="21"/>
        <v>0.11000000000000001</v>
      </c>
      <c r="K32" s="27">
        <f t="shared" si="22"/>
        <v>0.13600000000000001</v>
      </c>
      <c r="L32" s="27">
        <f t="shared" si="23"/>
        <v>0.16</v>
      </c>
      <c r="M32" s="27">
        <f t="shared" si="24"/>
        <v>0.2</v>
      </c>
      <c r="O32">
        <f>(1-B32)*E4b!B32</f>
        <v>3.8000000000000007</v>
      </c>
      <c r="P32">
        <f>(1-C32)*E4b!C32</f>
        <v>4.8000000000000007</v>
      </c>
      <c r="Q32">
        <f>(1-D32)*E4b!D32</f>
        <v>7.8000000000000007</v>
      </c>
      <c r="R32">
        <f>(1-E32)*E4b!E32</f>
        <v>9.5451999999999977</v>
      </c>
      <c r="S32" s="2">
        <f>(1-F32)*E4b!F32</f>
        <v>13.910399999999997</v>
      </c>
      <c r="T32">
        <f>(1-G32)*E4b!G32</f>
        <v>18.799999999999997</v>
      </c>
      <c r="U32">
        <f>(1-H32)*E4b!H32</f>
        <v>46.599999999999994</v>
      </c>
      <c r="V32">
        <f>(1-I32)*E4b!I32</f>
        <v>90.600000000000009</v>
      </c>
      <c r="W32">
        <f>(1-J32)*E4b!J32</f>
        <v>178</v>
      </c>
      <c r="X32">
        <f>(1-K32)*E4b!K32</f>
        <v>432</v>
      </c>
      <c r="Y32">
        <f>(1-L32)*E4b!L32</f>
        <v>840</v>
      </c>
      <c r="Z32">
        <f>(1-M32)*E4b!M32</f>
        <v>4000</v>
      </c>
      <c r="AA32">
        <v>2</v>
      </c>
      <c r="AB32" s="3">
        <f>(E4b!C32-P32-(E4b!B32-O32))/(E4b!C32-E4b!B32)</f>
        <v>0</v>
      </c>
      <c r="AC32" s="3">
        <f>(E4b!D32-Q32-(E4b!C32-P32))/(E4b!D32-E4b!C32)</f>
        <v>0</v>
      </c>
      <c r="AD32" s="68">
        <f>(E4b!E32-R32-(E4b!D32-Q32))/(E4b!E32-E4b!D32)</f>
        <v>0.12739999999999996</v>
      </c>
      <c r="AE32" s="68">
        <f>(E4b!F32-S32-(E4b!E32-R32))/(E4b!F32-E4b!E32)</f>
        <v>5.1043478260869912E-2</v>
      </c>
      <c r="AF32" s="68">
        <f>(E4b!G32-T32-(E4b!F32-S32))/(E4b!G32-E4b!F32)</f>
        <v>0.12685714285714314</v>
      </c>
      <c r="AG32" s="68">
        <f>(E4b!H32-U32-(E4b!G32-T32))/(E4b!H32-E4b!G32)</f>
        <v>7.3333333333333431E-2</v>
      </c>
      <c r="AH32" s="3">
        <f>(E4b!I32-V32-(E4b!H32-U32))/(E4b!I32-E4b!H32)</f>
        <v>0.11999999999999972</v>
      </c>
      <c r="AI32" s="3">
        <f>(E4b!J32-W32-(E4b!I32-V32))/(E4b!J32-E4b!I32)</f>
        <v>0.12600000000000008</v>
      </c>
      <c r="AJ32" s="3">
        <f>(E4b!K32-X32-(E4b!J32-W32))/(E4b!K32-E4b!J32)</f>
        <v>0.15333333333333332</v>
      </c>
      <c r="AK32" s="3">
        <f>(E4b!L32-Y32-(E4b!K32-X32))/(E4b!L32-E4b!K32)</f>
        <v>0.184</v>
      </c>
      <c r="AL32" s="3">
        <f>(E4b!M32-Z32-(E4b!L32-Y32))/(E4b!M32-E4b!L32)</f>
        <v>0.21</v>
      </c>
      <c r="AM32" s="3">
        <f>(E4b!N32-AA32-(E4b!M32-Z32))/(E4b!N32-E4b!M32)</f>
        <v>0.20039999999999999</v>
      </c>
    </row>
    <row r="33" spans="1:39" ht="15.75" customHeight="1" x14ac:dyDescent="0.25">
      <c r="A33" s="21">
        <v>2055</v>
      </c>
      <c r="B33" s="27">
        <f t="shared" si="13"/>
        <v>0</v>
      </c>
      <c r="C33" s="27">
        <f t="shared" si="14"/>
        <v>0</v>
      </c>
      <c r="D33" s="27">
        <f t="shared" si="15"/>
        <v>0</v>
      </c>
      <c r="E33" s="27">
        <f t="shared" si="16"/>
        <v>2.7500000000000007E-2</v>
      </c>
      <c r="F33" s="27">
        <f t="shared" si="17"/>
        <v>3.5000000000000003E-2</v>
      </c>
      <c r="G33" s="27">
        <f t="shared" si="18"/>
        <v>6.2500000000000014E-2</v>
      </c>
      <c r="H33" s="27">
        <f t="shared" si="19"/>
        <v>7.0000000000000007E-2</v>
      </c>
      <c r="I33" s="27">
        <f t="shared" si="20"/>
        <v>9.7500000000000017E-2</v>
      </c>
      <c r="J33" s="27">
        <f t="shared" si="21"/>
        <v>0.11250000000000002</v>
      </c>
      <c r="K33" s="27">
        <f t="shared" si="22"/>
        <v>0.14000000000000001</v>
      </c>
      <c r="L33" s="27">
        <f t="shared" si="23"/>
        <v>0.16250000000000001</v>
      </c>
      <c r="M33" s="27">
        <f t="shared" si="24"/>
        <v>0.2</v>
      </c>
      <c r="O33">
        <f>(1-B33)*E4b!B33</f>
        <v>3.7500000000000009</v>
      </c>
      <c r="P33">
        <f>(1-C33)*E4b!C33</f>
        <v>4.7500000000000009</v>
      </c>
      <c r="Q33">
        <f>(1-D33)*E4b!D33</f>
        <v>7.7500000000000009</v>
      </c>
      <c r="R33">
        <f>(1-E33)*E4b!E33</f>
        <v>9.4818749999999969</v>
      </c>
      <c r="S33" s="2">
        <f>(1-F33)*E4b!F33</f>
        <v>13.751249999999997</v>
      </c>
      <c r="T33">
        <f>(1-G33)*E4b!G33</f>
        <v>18.75</v>
      </c>
      <c r="U33">
        <f>(1-H33)*E4b!H33</f>
        <v>46.5</v>
      </c>
      <c r="V33">
        <f>(1-I33)*E4b!I33</f>
        <v>90.25</v>
      </c>
      <c r="W33">
        <f>(1-J33)*E4b!J33</f>
        <v>177.5</v>
      </c>
      <c r="X33">
        <f>(1-K33)*E4b!K33</f>
        <v>430</v>
      </c>
      <c r="Y33">
        <f>(1-L33)*E4b!L33</f>
        <v>837.5</v>
      </c>
      <c r="Z33">
        <f>(1-M33)*E4b!M33</f>
        <v>4000</v>
      </c>
      <c r="AA33">
        <v>2</v>
      </c>
      <c r="AB33" s="3">
        <f>(E4b!C33-P33-(E4b!B33-O33))/(E4b!C33-E4b!B33)</f>
        <v>0</v>
      </c>
      <c r="AC33" s="3">
        <f>(E4b!D33-Q33-(E4b!C33-P33))/(E4b!D33-E4b!C33)</f>
        <v>0</v>
      </c>
      <c r="AD33" s="68">
        <f>(E4b!E33-R33-(E4b!D33-Q33))/(E4b!E33-E4b!D33)</f>
        <v>0.13406250000000006</v>
      </c>
      <c r="AE33" s="68">
        <f>(E4b!F33-S33-(E4b!E33-R33))/(E4b!F33-E4b!E33)</f>
        <v>5.1250000000000344E-2</v>
      </c>
      <c r="AF33" s="68">
        <f>(E4b!G33-T33-(E4b!F33-S33))/(E4b!G33-E4b!F33)</f>
        <v>0.13065217391304323</v>
      </c>
      <c r="AG33" s="68">
        <f>(E4b!H33-U33-(E4b!G33-T33))/(E4b!H33-E4b!G33)</f>
        <v>7.4999999999999997E-2</v>
      </c>
      <c r="AH33" s="3">
        <f>(E4b!I33-V33-(E4b!H33-U33))/(E4b!I33-E4b!H33)</f>
        <v>0.125</v>
      </c>
      <c r="AI33" s="3">
        <f>(E4b!J33-W33-(E4b!I33-V33))/(E4b!J33-E4b!I33)</f>
        <v>0.1275</v>
      </c>
      <c r="AJ33" s="3">
        <f>(E4b!K33-X33-(E4b!J33-W33))/(E4b!K33-E4b!J33)</f>
        <v>0.15833333333333333</v>
      </c>
      <c r="AK33" s="3">
        <f>(E4b!L33-Y33-(E4b!K33-X33))/(E4b!L33-E4b!K33)</f>
        <v>0.185</v>
      </c>
      <c r="AL33" s="3">
        <f>(E4b!M33-Z33-(E4b!L33-Y33))/(E4b!M33-E4b!L33)</f>
        <v>0.20937500000000001</v>
      </c>
      <c r="AM33" s="3">
        <f>(E4b!N33-AA33-(E4b!M33-Z33))/(E4b!N33-E4b!M33)</f>
        <v>0.20039999999999999</v>
      </c>
    </row>
    <row r="34" spans="1:39" ht="15.75" customHeight="1" x14ac:dyDescent="0.25">
      <c r="A34" s="21">
        <v>2056</v>
      </c>
      <c r="B34" s="27">
        <f t="shared" si="13"/>
        <v>0</v>
      </c>
      <c r="C34" s="27">
        <f t="shared" si="14"/>
        <v>0</v>
      </c>
      <c r="D34" s="27">
        <f t="shared" si="15"/>
        <v>0</v>
      </c>
      <c r="E34" s="27">
        <f t="shared" si="16"/>
        <v>2.9000000000000008E-2</v>
      </c>
      <c r="F34" s="27">
        <f t="shared" si="17"/>
        <v>3.6000000000000004E-2</v>
      </c>
      <c r="G34" s="27">
        <f t="shared" si="18"/>
        <v>6.5000000000000016E-2</v>
      </c>
      <c r="H34" s="27">
        <f t="shared" si="19"/>
        <v>7.2000000000000008E-2</v>
      </c>
      <c r="I34" s="27">
        <f t="shared" si="20"/>
        <v>0.10100000000000002</v>
      </c>
      <c r="J34" s="27">
        <f t="shared" si="21"/>
        <v>0.11500000000000002</v>
      </c>
      <c r="K34" s="27">
        <f t="shared" si="22"/>
        <v>0.14400000000000002</v>
      </c>
      <c r="L34" s="27">
        <f t="shared" si="23"/>
        <v>0.16500000000000001</v>
      </c>
      <c r="M34" s="27">
        <f t="shared" si="24"/>
        <v>0.2</v>
      </c>
      <c r="O34">
        <f>(1-B34)*E4b!B34</f>
        <v>3.7000000000000011</v>
      </c>
      <c r="P34">
        <f>(1-C34)*E4b!C34</f>
        <v>4.7000000000000011</v>
      </c>
      <c r="Q34">
        <f>(1-D34)*E4b!D34</f>
        <v>7.7000000000000011</v>
      </c>
      <c r="R34">
        <f>(1-E34)*E4b!E34</f>
        <v>9.4186999999999959</v>
      </c>
      <c r="S34" s="2">
        <f>(1-F34)*E4b!F34</f>
        <v>13.592399999999998</v>
      </c>
      <c r="T34">
        <f>(1-G34)*E4b!G34</f>
        <v>18.7</v>
      </c>
      <c r="U34">
        <f>(1-H34)*E4b!H34</f>
        <v>46.4</v>
      </c>
      <c r="V34">
        <f>(1-I34)*E4b!I34</f>
        <v>89.9</v>
      </c>
      <c r="W34">
        <f>(1-J34)*E4b!J34</f>
        <v>177</v>
      </c>
      <c r="X34">
        <f>(1-K34)*E4b!K34</f>
        <v>428</v>
      </c>
      <c r="Y34">
        <f>(1-L34)*E4b!L34</f>
        <v>835</v>
      </c>
      <c r="Z34">
        <f>(1-M34)*E4b!M34</f>
        <v>4000</v>
      </c>
      <c r="AA34">
        <v>2</v>
      </c>
      <c r="AB34" s="3">
        <f>(E4b!C34-P34-(E4b!B34-O34))/(E4b!C34-E4b!B34)</f>
        <v>0</v>
      </c>
      <c r="AC34" s="3">
        <f>(E4b!D34-Q34-(E4b!C34-P34))/(E4b!D34-E4b!C34)</f>
        <v>0</v>
      </c>
      <c r="AD34" s="68">
        <f>(E4b!E34-R34-(E4b!D34-Q34))/(E4b!E34-E4b!D34)</f>
        <v>0.14065000000000033</v>
      </c>
      <c r="AE34" s="68">
        <f>(E4b!F34-S34-(E4b!E34-R34))/(E4b!F34-E4b!E34)</f>
        <v>5.1431818181818197E-2</v>
      </c>
      <c r="AF34" s="68">
        <f>(E4b!G34-T34-(E4b!F34-S34))/(E4b!G34-E4b!F34)</f>
        <v>0.13430508474576278</v>
      </c>
      <c r="AG34" s="68">
        <f>(E4b!H34-U34-(E4b!G34-T34))/(E4b!H34-E4b!G34)</f>
        <v>7.6666666666666689E-2</v>
      </c>
      <c r="AH34" s="68">
        <f>(E4b!I34-V34-(E4b!H34-U34))/(E4b!I34-E4b!H34)</f>
        <v>0.12999999999999987</v>
      </c>
      <c r="AI34" s="68">
        <f>(E4b!J34-W34-(E4b!I34-V34))/(E4b!J34-E4b!I34)</f>
        <v>0.12900000000000006</v>
      </c>
      <c r="AJ34" s="3">
        <f>(E4b!K34-X34-(E4b!J34-W34))/(E4b!K34-E4b!J34)</f>
        <v>0.16333333333333333</v>
      </c>
      <c r="AK34" s="3">
        <f>(E4b!L34-Y34-(E4b!K34-X34))/(E4b!L34-E4b!K34)</f>
        <v>0.186</v>
      </c>
      <c r="AL34" s="3">
        <f>(E4b!M34-Z34-(E4b!L34-Y34))/(E4b!M34-E4b!L34)</f>
        <v>0.20874999999999999</v>
      </c>
      <c r="AM34" s="3">
        <f>(E4b!N34-AA34-(E4b!M34-Z34))/(E4b!N34-E4b!M34)</f>
        <v>0.20039999999999999</v>
      </c>
    </row>
    <row r="35" spans="1:39" ht="15.75" customHeight="1" x14ac:dyDescent="0.25">
      <c r="A35" s="21">
        <v>2057</v>
      </c>
      <c r="B35" s="27">
        <f t="shared" si="13"/>
        <v>0</v>
      </c>
      <c r="C35" s="27">
        <f t="shared" si="14"/>
        <v>0</v>
      </c>
      <c r="D35" s="27">
        <f t="shared" si="15"/>
        <v>0</v>
      </c>
      <c r="E35" s="27">
        <f t="shared" si="16"/>
        <v>3.050000000000001E-2</v>
      </c>
      <c r="F35" s="27">
        <f t="shared" si="17"/>
        <v>3.7000000000000005E-2</v>
      </c>
      <c r="G35" s="27">
        <f t="shared" si="18"/>
        <v>6.7500000000000018E-2</v>
      </c>
      <c r="H35" s="27">
        <f t="shared" si="19"/>
        <v>7.400000000000001E-2</v>
      </c>
      <c r="I35" s="27">
        <f t="shared" si="20"/>
        <v>0.10450000000000002</v>
      </c>
      <c r="J35" s="27">
        <f t="shared" si="21"/>
        <v>0.11750000000000002</v>
      </c>
      <c r="K35" s="27">
        <f t="shared" si="22"/>
        <v>0.14800000000000002</v>
      </c>
      <c r="L35" s="27">
        <f t="shared" si="23"/>
        <v>0.16750000000000001</v>
      </c>
      <c r="M35" s="27">
        <f t="shared" si="24"/>
        <v>0.2</v>
      </c>
      <c r="O35">
        <f>(1-B35)*E4b!B35</f>
        <v>3.6500000000000012</v>
      </c>
      <c r="P35">
        <f>(1-C35)*E4b!C35</f>
        <v>4.6500000000000012</v>
      </c>
      <c r="Q35">
        <f>(1-D35)*E4b!D35</f>
        <v>7.6500000000000012</v>
      </c>
      <c r="R35">
        <f>(1-E35)*E4b!E35</f>
        <v>9.3556749999999962</v>
      </c>
      <c r="S35" s="2">
        <f>(1-F35)*E4b!F35</f>
        <v>13.433849999999998</v>
      </c>
      <c r="T35">
        <f>(1-G35)*E4b!G35</f>
        <v>18.649999999999999</v>
      </c>
      <c r="U35">
        <f>(1-H35)*E4b!H35</f>
        <v>46.3</v>
      </c>
      <c r="V35">
        <f>(1-I35)*E4b!I35</f>
        <v>89.55</v>
      </c>
      <c r="W35">
        <f>(1-J35)*E4b!J35</f>
        <v>176.5</v>
      </c>
      <c r="X35">
        <f>(1-K35)*E4b!K35</f>
        <v>426</v>
      </c>
      <c r="Y35">
        <f>(1-L35)*E4b!L35</f>
        <v>832.5</v>
      </c>
      <c r="Z35">
        <f>(1-M35)*E4b!M35</f>
        <v>4000</v>
      </c>
      <c r="AA35">
        <v>3</v>
      </c>
      <c r="AB35" s="3">
        <f>(E4b!C35-P35-(E4b!B35-O35))/(E4b!C35-E4b!B35)</f>
        <v>0</v>
      </c>
      <c r="AC35" s="3">
        <f>(E4b!D35-Q35-(E4b!C35-P35))/(E4b!D35-E4b!C35)</f>
        <v>0</v>
      </c>
      <c r="AD35" s="68">
        <f>(E4b!E35-R35-(E4b!D35-Q35))/(E4b!E35-E4b!D35)</f>
        <v>0.14716249999999986</v>
      </c>
      <c r="AE35" s="68">
        <f>(E4b!F35-S35-(E4b!E35-R35))/(E4b!F35-E4b!E35)</f>
        <v>5.1587209302325743E-2</v>
      </c>
      <c r="AF35" s="68">
        <f>(E4b!G35-T35-(E4b!F35-S35))/(E4b!G35-E4b!F35)</f>
        <v>0.13782644628099197</v>
      </c>
      <c r="AG35" s="68">
        <f>(E4b!H35-U35-(E4b!G35-T35))/(E4b!H35-E4b!G35)</f>
        <v>7.833333333333338E-2</v>
      </c>
      <c r="AH35" s="68">
        <f>(E4b!I35-V35-(E4b!H35-U35))/(E4b!I35-E4b!H35)</f>
        <v>0.13500000000000001</v>
      </c>
      <c r="AI35" s="68">
        <f>(E4b!J35-W35-(E4b!I35-V35))/(E4b!J35-E4b!I35)</f>
        <v>0.13049999999999998</v>
      </c>
      <c r="AJ35" s="3">
        <f>(E4b!K35-X35-(E4b!J35-W35))/(E4b!K35-E4b!J35)</f>
        <v>0.16833333333333333</v>
      </c>
      <c r="AK35" s="3">
        <f>(E4b!L35-Y35-(E4b!K35-X35))/(E4b!L35-E4b!K35)</f>
        <v>0.187</v>
      </c>
      <c r="AL35" s="3">
        <f>(E4b!M35-Z35-(E4b!L35-Y35))/(E4b!M35-E4b!L35)</f>
        <v>0.208125</v>
      </c>
      <c r="AM35" s="3">
        <f>(E4b!N35-AA35-(E4b!M35-Z35))/(E4b!N35-E4b!M35)</f>
        <v>0.2006</v>
      </c>
    </row>
    <row r="36" spans="1:39" ht="15.75" customHeight="1" x14ac:dyDescent="0.25">
      <c r="A36" s="21">
        <v>2058</v>
      </c>
      <c r="B36" s="27">
        <f t="shared" si="13"/>
        <v>0</v>
      </c>
      <c r="C36" s="27">
        <f t="shared" si="14"/>
        <v>0</v>
      </c>
      <c r="D36" s="27">
        <f t="shared" si="15"/>
        <v>0</v>
      </c>
      <c r="E36" s="27">
        <f t="shared" si="16"/>
        <v>3.2000000000000008E-2</v>
      </c>
      <c r="F36" s="27">
        <f t="shared" si="17"/>
        <v>3.8000000000000006E-2</v>
      </c>
      <c r="G36" s="27">
        <f t="shared" si="18"/>
        <v>7.0000000000000021E-2</v>
      </c>
      <c r="H36" s="27">
        <f t="shared" si="19"/>
        <v>7.6000000000000012E-2</v>
      </c>
      <c r="I36" s="27">
        <f t="shared" si="20"/>
        <v>0.10800000000000003</v>
      </c>
      <c r="J36" s="27">
        <f t="shared" si="21"/>
        <v>0.12000000000000002</v>
      </c>
      <c r="K36" s="27">
        <f t="shared" si="22"/>
        <v>0.15200000000000002</v>
      </c>
      <c r="L36" s="27">
        <f t="shared" si="23"/>
        <v>0.17</v>
      </c>
      <c r="M36" s="27">
        <f t="shared" si="24"/>
        <v>0.2</v>
      </c>
      <c r="O36">
        <f>(1-B36)*E4b!B36</f>
        <v>3.6000000000000014</v>
      </c>
      <c r="P36">
        <f>(1-C36)*E4b!C36</f>
        <v>4.6000000000000014</v>
      </c>
      <c r="Q36">
        <f>(1-D36)*E4b!D36</f>
        <v>7.6000000000000014</v>
      </c>
      <c r="R36">
        <f>(1-E36)*E4b!E36</f>
        <v>9.2927999999999944</v>
      </c>
      <c r="S36" s="2">
        <f>(1-F36)*E4b!F36</f>
        <v>13.275599999999997</v>
      </c>
      <c r="T36">
        <f>(1-G36)*E4b!G36</f>
        <v>18.599999999999998</v>
      </c>
      <c r="U36">
        <f>(1-H36)*E4b!H36</f>
        <v>46.199999999999996</v>
      </c>
      <c r="V36">
        <f>(1-I36)*E4b!I36</f>
        <v>89.2</v>
      </c>
      <c r="W36">
        <f>(1-J36)*E4b!J36</f>
        <v>176</v>
      </c>
      <c r="X36">
        <f>(1-K36)*E4b!K36</f>
        <v>424</v>
      </c>
      <c r="Y36">
        <f>(1-L36)*E4b!L36</f>
        <v>830</v>
      </c>
      <c r="Z36">
        <f>(1-M36)*E4b!M36</f>
        <v>4000</v>
      </c>
      <c r="AA36">
        <v>3</v>
      </c>
      <c r="AB36" s="3">
        <f>(E4b!C36-P36-(E4b!B36-O36))/(E4b!C36-E4b!B36)</f>
        <v>0</v>
      </c>
      <c r="AC36" s="3">
        <f>(E4b!D36-Q36-(E4b!C36-P36))/(E4b!D36-E4b!C36)</f>
        <v>0</v>
      </c>
      <c r="AD36" s="68">
        <f>(E4b!E36-R36-(E4b!D36-Q36))/(E4b!E36-E4b!D36)</f>
        <v>0.15360000000000051</v>
      </c>
      <c r="AE36" s="68">
        <f>(E4b!F36-S36-(E4b!E36-R36))/(E4b!F36-E4b!E36)</f>
        <v>5.1714285714285692E-2</v>
      </c>
      <c r="AF36" s="68">
        <f>(E4b!G36-T36-(E4b!F36-S36))/(E4b!G36-E4b!F36)</f>
        <v>0.14122580645161317</v>
      </c>
      <c r="AG36" s="68">
        <f>(E4b!H36-U36-(E4b!G36-T36))/(E4b!H36-E4b!G36)</f>
        <v>8.0000000000000071E-2</v>
      </c>
      <c r="AH36" s="68">
        <f>(E4b!I36-V36-(E4b!H36-U36))/(E4b!I36-E4b!H36)</f>
        <v>0.13999999999999985</v>
      </c>
      <c r="AI36" s="68">
        <f>(E4b!J36-W36-(E4b!I36-V36))/(E4b!J36-E4b!I36)</f>
        <v>0.13200000000000003</v>
      </c>
      <c r="AJ36" s="3">
        <f>(E4b!K36-X36-(E4b!J36-W36))/(E4b!K36-E4b!J36)</f>
        <v>0.17333333333333334</v>
      </c>
      <c r="AK36" s="3">
        <f>(E4b!L36-Y36-(E4b!K36-X36))/(E4b!L36-E4b!K36)</f>
        <v>0.188</v>
      </c>
      <c r="AL36" s="3">
        <f>(E4b!M36-Z36-(E4b!L36-Y36))/(E4b!M36-E4b!L36)</f>
        <v>0.20749999999999999</v>
      </c>
      <c r="AM36" s="3">
        <f>(E4b!N36-AA36-(E4b!M36-Z36))/(E4b!N36-E4b!M36)</f>
        <v>0.2006</v>
      </c>
    </row>
    <row r="37" spans="1:39" ht="15.75" customHeight="1" x14ac:dyDescent="0.25">
      <c r="A37" s="21">
        <v>2059</v>
      </c>
      <c r="B37" s="27">
        <f t="shared" si="13"/>
        <v>0</v>
      </c>
      <c r="C37" s="27">
        <f t="shared" si="14"/>
        <v>0</v>
      </c>
      <c r="D37" s="27">
        <f t="shared" si="15"/>
        <v>0</v>
      </c>
      <c r="E37" s="27">
        <f t="shared" si="16"/>
        <v>3.3500000000000009E-2</v>
      </c>
      <c r="F37" s="27">
        <f t="shared" si="17"/>
        <v>3.9000000000000007E-2</v>
      </c>
      <c r="G37" s="27">
        <f t="shared" si="18"/>
        <v>7.2500000000000023E-2</v>
      </c>
      <c r="H37" s="27">
        <f t="shared" si="19"/>
        <v>7.8000000000000014E-2</v>
      </c>
      <c r="I37" s="27">
        <f t="shared" si="20"/>
        <v>0.11150000000000003</v>
      </c>
      <c r="J37" s="27">
        <f t="shared" si="21"/>
        <v>0.12250000000000003</v>
      </c>
      <c r="K37" s="27">
        <f t="shared" si="22"/>
        <v>0.15600000000000003</v>
      </c>
      <c r="L37" s="27">
        <f t="shared" si="23"/>
        <v>0.17250000000000001</v>
      </c>
      <c r="M37" s="27">
        <f t="shared" si="24"/>
        <v>0.2</v>
      </c>
      <c r="O37">
        <f>(1-B37)*E4b!B37</f>
        <v>3.5500000000000016</v>
      </c>
      <c r="P37">
        <f>(1-C37)*E4b!C37</f>
        <v>4.5500000000000016</v>
      </c>
      <c r="Q37">
        <f>(1-D37)*E4b!D37</f>
        <v>7.5500000000000016</v>
      </c>
      <c r="R37">
        <f>(1-E37)*E4b!E37</f>
        <v>9.230074999999994</v>
      </c>
      <c r="S37" s="2">
        <f>(1-F37)*E4b!F37</f>
        <v>13.117649999999996</v>
      </c>
      <c r="T37">
        <f>(1-G37)*E4b!G37</f>
        <v>18.55</v>
      </c>
      <c r="U37">
        <f>(1-H37)*E4b!H37</f>
        <v>46.099999999999994</v>
      </c>
      <c r="V37">
        <f>(1-I37)*E4b!I37</f>
        <v>88.85</v>
      </c>
      <c r="W37">
        <f>(1-J37)*E4b!J37</f>
        <v>175.5</v>
      </c>
      <c r="X37">
        <f>(1-K37)*E4b!K37</f>
        <v>422</v>
      </c>
      <c r="Y37">
        <f>(1-L37)*E4b!L37</f>
        <v>827.5</v>
      </c>
      <c r="Z37">
        <f>(1-M37)*E4b!M37</f>
        <v>4000</v>
      </c>
      <c r="AA37">
        <v>3</v>
      </c>
      <c r="AB37" s="3">
        <f>(E4b!C37-P37-(E4b!B37-O37))/(E4b!C37-E4b!B37)</f>
        <v>0</v>
      </c>
      <c r="AC37" s="3">
        <f>(E4b!D37-Q37-(E4b!C37-P37))/(E4b!D37-E4b!C37)</f>
        <v>0</v>
      </c>
      <c r="AD37" s="68">
        <f>(E4b!E37-R37-(E4b!D37-Q37))/(E4b!E37-E4b!D37)</f>
        <v>0.15996250000000042</v>
      </c>
      <c r="AE37" s="68">
        <f>(E4b!F37-S37-(E4b!E37-R37))/(E4b!F37-E4b!E37)</f>
        <v>5.18109756097564E-2</v>
      </c>
      <c r="AF37" s="68">
        <f>(E4b!G37-T37-(E4b!F37-S37))/(E4b!G37-E4b!F37)</f>
        <v>0.14451181102362171</v>
      </c>
      <c r="AG37" s="68">
        <f>(E4b!H37-U37-(E4b!G37-T37))/(E4b!H37-E4b!G37)</f>
        <v>8.1666666666666873E-2</v>
      </c>
      <c r="AH37" s="68">
        <f>(E4b!I37-V37-(E4b!H37-U37))/(E4b!I37-E4b!H37)</f>
        <v>0.14499999999999999</v>
      </c>
      <c r="AI37" s="68">
        <f>(E4b!J37-W37-(E4b!I37-V37))/(E4b!J37-E4b!I37)</f>
        <v>0.13349999999999995</v>
      </c>
      <c r="AJ37" s="3">
        <f>(E4b!K37-X37-(E4b!J37-W37))/(E4b!K37-E4b!J37)</f>
        <v>0.17833333333333334</v>
      </c>
      <c r="AK37" s="3">
        <f>(E4b!L37-Y37-(E4b!K37-X37))/(E4b!L37-E4b!K37)</f>
        <v>0.189</v>
      </c>
      <c r="AL37" s="3">
        <f>(E4b!M37-Z37-(E4b!L37-Y37))/(E4b!M37-E4b!L37)</f>
        <v>0.206875</v>
      </c>
      <c r="AM37" s="3">
        <f>(E4b!N37-AA37-(E4b!M37-Z37))/(E4b!N37-E4b!M37)</f>
        <v>0.2006</v>
      </c>
    </row>
    <row r="38" spans="1:39" ht="15.75" customHeight="1" x14ac:dyDescent="0.25">
      <c r="A38" s="21">
        <v>2060</v>
      </c>
      <c r="B38" s="27">
        <f t="shared" si="13"/>
        <v>0</v>
      </c>
      <c r="C38" s="27">
        <f t="shared" si="14"/>
        <v>0</v>
      </c>
      <c r="D38" s="27">
        <f t="shared" si="15"/>
        <v>0</v>
      </c>
      <c r="E38" s="27">
        <f t="shared" si="16"/>
        <v>3.500000000000001E-2</v>
      </c>
      <c r="F38" s="27">
        <f t="shared" si="17"/>
        <v>4.0000000000000008E-2</v>
      </c>
      <c r="G38" s="27">
        <f t="shared" si="18"/>
        <v>7.5000000000000025E-2</v>
      </c>
      <c r="H38" s="27">
        <f t="shared" si="19"/>
        <v>8.0000000000000016E-2</v>
      </c>
      <c r="I38" s="27">
        <f t="shared" si="20"/>
        <v>0.11500000000000003</v>
      </c>
      <c r="J38" s="27">
        <f t="shared" si="21"/>
        <v>0.12500000000000003</v>
      </c>
      <c r="K38" s="27">
        <f t="shared" si="22"/>
        <v>0.16000000000000003</v>
      </c>
      <c r="L38" s="27">
        <f t="shared" si="23"/>
        <v>0.17500000000000002</v>
      </c>
      <c r="M38" s="27">
        <f t="shared" si="24"/>
        <v>0.2</v>
      </c>
      <c r="O38">
        <f>(1-B38)*E4b!B38</f>
        <v>3.5000000000000018</v>
      </c>
      <c r="P38">
        <f>(1-C38)*E4b!C38</f>
        <v>4.5000000000000018</v>
      </c>
      <c r="Q38">
        <f>(1-D38)*E4b!D38</f>
        <v>7.5000000000000018</v>
      </c>
      <c r="R38">
        <f>(1-E38)*E4b!E38</f>
        <v>9.1674999999999933</v>
      </c>
      <c r="S38" s="2">
        <f>(1-F38)*E4b!F38</f>
        <v>12.959999999999996</v>
      </c>
      <c r="T38">
        <f>(1-G38)*E4b!G38</f>
        <v>18.5</v>
      </c>
      <c r="U38">
        <f>(1-H38)*E4b!H38</f>
        <v>46</v>
      </c>
      <c r="V38">
        <f>(1-I38)*E4b!I38</f>
        <v>88.5</v>
      </c>
      <c r="W38">
        <f>(1-J38)*E4b!J38</f>
        <v>175</v>
      </c>
      <c r="X38">
        <f>(1-K38)*E4b!K38</f>
        <v>420</v>
      </c>
      <c r="Y38">
        <f>(1-L38)*E4b!L38</f>
        <v>825</v>
      </c>
      <c r="Z38">
        <f>(1-M38)*E4b!M38</f>
        <v>4000</v>
      </c>
      <c r="AA38">
        <v>3</v>
      </c>
      <c r="AB38" s="3">
        <f>(E4b!C38-P38-(E4b!B38-O38))/(E4b!C38-E4b!B38)</f>
        <v>0</v>
      </c>
      <c r="AC38" s="3">
        <f>(E4b!D38-Q38-(E4b!C38-P38))/(E4b!D38-E4b!C38)</f>
        <v>0</v>
      </c>
      <c r="AD38" s="68">
        <f>(E4b!E38-R38-(E4b!D38-Q38))/(E4b!E38-E4b!D38)</f>
        <v>0.16625000000000054</v>
      </c>
      <c r="AE38" s="68">
        <f>(E4b!F38-S38-(E4b!E38-R38))/(E4b!F38-E4b!E38)</f>
        <v>5.1875000000000289E-2</v>
      </c>
      <c r="AF38" s="68">
        <f>(E4b!G38-T38-(E4b!F38-S38))/(E4b!G38-E4b!F38)</f>
        <v>0.14769230769230746</v>
      </c>
      <c r="AG38" s="68">
        <f>(E4b!H38-U38-(E4b!G38-T38))/(E4b!H38-E4b!G38)</f>
        <v>8.3333333333333329E-2</v>
      </c>
      <c r="AH38" s="68">
        <f>(E4b!I38-V38-(E4b!H38-U38))/(E4b!I38-E4b!H38)</f>
        <v>0.15</v>
      </c>
      <c r="AI38" s="68">
        <f>(E4b!J38-W38-(E4b!I38-V38))/(E4b!J38-E4b!I38)</f>
        <v>0.13500000000000001</v>
      </c>
      <c r="AJ38" s="3">
        <f>(E4b!K38-X38-(E4b!J38-W38))/(E4b!K38-E4b!J38)</f>
        <v>0.18333333333333332</v>
      </c>
      <c r="AK38" s="3">
        <f>(E4b!L38-Y38-(E4b!K38-X38))/(E4b!L38-E4b!K38)</f>
        <v>0.19</v>
      </c>
      <c r="AL38" s="3">
        <f>(E4b!M38-Z38-(E4b!L38-Y38))/(E4b!M38-E4b!L38)</f>
        <v>0.20624999999999999</v>
      </c>
      <c r="AM38" s="3">
        <f>(E4b!N38-AA38-(E4b!M38-Z38))/(E4b!N38-E4b!M38)</f>
        <v>0.2006</v>
      </c>
    </row>
    <row r="39" spans="1:39" ht="15.75" customHeight="1" x14ac:dyDescent="0.25">
      <c r="A39" s="21">
        <v>2061</v>
      </c>
      <c r="B39" s="27">
        <f t="shared" si="13"/>
        <v>0</v>
      </c>
      <c r="C39" s="27">
        <f t="shared" si="14"/>
        <v>0</v>
      </c>
      <c r="D39" s="27">
        <f t="shared" si="15"/>
        <v>0</v>
      </c>
      <c r="E39" s="27">
        <f t="shared" si="16"/>
        <v>3.6500000000000012E-2</v>
      </c>
      <c r="F39" s="27">
        <f t="shared" si="17"/>
        <v>4.1000000000000009E-2</v>
      </c>
      <c r="G39" s="27">
        <f t="shared" si="18"/>
        <v>7.7500000000000027E-2</v>
      </c>
      <c r="H39" s="27">
        <f t="shared" si="19"/>
        <v>8.2000000000000017E-2</v>
      </c>
      <c r="I39" s="27">
        <f t="shared" si="20"/>
        <v>0.11850000000000004</v>
      </c>
      <c r="J39" s="27">
        <f t="shared" si="21"/>
        <v>0.12750000000000003</v>
      </c>
      <c r="K39" s="27">
        <f t="shared" si="22"/>
        <v>0.16400000000000003</v>
      </c>
      <c r="L39" s="27">
        <f t="shared" si="23"/>
        <v>0.17750000000000002</v>
      </c>
      <c r="M39" s="27">
        <f t="shared" si="24"/>
        <v>0.2</v>
      </c>
      <c r="O39">
        <f>(1-B39)*E4b!B39</f>
        <v>3.450000000000002</v>
      </c>
      <c r="P39">
        <f>(1-C39)*E4b!C39</f>
        <v>4.450000000000002</v>
      </c>
      <c r="Q39">
        <f>(1-D39)*E4b!D39</f>
        <v>7.450000000000002</v>
      </c>
      <c r="R39">
        <f>(1-E39)*E4b!E39</f>
        <v>9.1050749999999923</v>
      </c>
      <c r="S39" s="2">
        <f>(1-F39)*E4b!F39</f>
        <v>12.802649999999996</v>
      </c>
      <c r="T39">
        <f>(1-G39)*E4b!G39</f>
        <v>18.45</v>
      </c>
      <c r="U39">
        <f>(1-H39)*E4b!H39</f>
        <v>45.9</v>
      </c>
      <c r="V39">
        <f>(1-I39)*E4b!I39</f>
        <v>88.149999999999991</v>
      </c>
      <c r="W39">
        <f>(1-J39)*E4b!J39</f>
        <v>174.5</v>
      </c>
      <c r="X39">
        <f>(1-K39)*E4b!K39</f>
        <v>418</v>
      </c>
      <c r="Y39">
        <f>(1-L39)*E4b!L39</f>
        <v>822.5</v>
      </c>
      <c r="Z39">
        <f>(1-M39)*E4b!M39</f>
        <v>4000</v>
      </c>
      <c r="AA39">
        <v>3</v>
      </c>
      <c r="AB39" s="3">
        <f>(E4b!C39-P39-(E4b!B39-O39))/(E4b!C39-E4b!B39)</f>
        <v>0</v>
      </c>
      <c r="AC39" s="3">
        <f>(E4b!D39-Q39-(E4b!C39-P39))/(E4b!D39-E4b!C39)</f>
        <v>0</v>
      </c>
      <c r="AD39" s="68">
        <f>(E4b!E39-R39-(E4b!D39-Q39))/(E4b!E39-E4b!D39)</f>
        <v>0.1724625000000008</v>
      </c>
      <c r="AE39" s="68">
        <f>(E4b!F39-S39-(E4b!E39-R39))/(E4b!F39-E4b!E39)</f>
        <v>5.1903846153846064E-2</v>
      </c>
      <c r="AF39" s="68">
        <f>(E4b!G39-T39-(E4b!F39-S39))/(E4b!G39-E4b!F39)</f>
        <v>0.15077443609022562</v>
      </c>
      <c r="AG39" s="68">
        <f>(E4b!H39-U39-(E4b!G39-T39))/(E4b!H39-E4b!G39)</f>
        <v>8.500000000000002E-2</v>
      </c>
      <c r="AH39" s="68">
        <f>(E4b!I39-V39-(E4b!H39-U39))/(E4b!I39-E4b!H39)</f>
        <v>0.15500000000000014</v>
      </c>
      <c r="AI39" s="68">
        <f>(E4b!J39-W39-(E4b!I39-V39))/(E4b!J39-E4b!I39)</f>
        <v>0.13649999999999993</v>
      </c>
      <c r="AJ39" s="3">
        <f>(E4b!K39-X39-(E4b!J39-W39))/(E4b!K39-E4b!J39)</f>
        <v>0.18833333333333332</v>
      </c>
      <c r="AK39" s="3">
        <f>(E4b!L39-Y39-(E4b!K39-X39))/(E4b!L39-E4b!K39)</f>
        <v>0.191</v>
      </c>
      <c r="AL39" s="3">
        <f>(E4b!M39-Z39-(E4b!L39-Y39))/(E4b!M39-E4b!L39)</f>
        <v>0.205625</v>
      </c>
      <c r="AM39" s="3">
        <f>(E4b!N39-AA39-(E4b!M39-Z39))/(E4b!N39-E4b!M39)</f>
        <v>0.2006</v>
      </c>
    </row>
    <row r="40" spans="1:39" ht="15.75" customHeight="1" x14ac:dyDescent="0.25">
      <c r="A40" s="21">
        <v>2062</v>
      </c>
      <c r="B40" s="27">
        <f t="shared" si="13"/>
        <v>0</v>
      </c>
      <c r="C40" s="27">
        <f t="shared" si="14"/>
        <v>0</v>
      </c>
      <c r="D40" s="27">
        <f t="shared" si="15"/>
        <v>0</v>
      </c>
      <c r="E40" s="27">
        <f t="shared" si="16"/>
        <v>3.8000000000000013E-2</v>
      </c>
      <c r="F40" s="27">
        <f t="shared" si="17"/>
        <v>4.200000000000001E-2</v>
      </c>
      <c r="G40" s="27">
        <f t="shared" si="18"/>
        <v>8.0000000000000029E-2</v>
      </c>
      <c r="H40" s="27">
        <f t="shared" si="19"/>
        <v>8.4000000000000019E-2</v>
      </c>
      <c r="I40" s="27">
        <f t="shared" si="20"/>
        <v>0.12200000000000004</v>
      </c>
      <c r="J40" s="27">
        <f t="shared" si="21"/>
        <v>0.13000000000000003</v>
      </c>
      <c r="K40" s="27">
        <f t="shared" si="22"/>
        <v>0.16800000000000004</v>
      </c>
      <c r="L40" s="27">
        <f t="shared" si="23"/>
        <v>0.18000000000000002</v>
      </c>
      <c r="M40" s="27">
        <f t="shared" si="24"/>
        <v>0.2</v>
      </c>
      <c r="O40">
        <f>(1-B40)*E4b!B40</f>
        <v>3.4000000000000021</v>
      </c>
      <c r="P40">
        <f>(1-C40)*E4b!C40</f>
        <v>4.4000000000000021</v>
      </c>
      <c r="Q40">
        <f>(1-D40)*E4b!D40</f>
        <v>7.4000000000000021</v>
      </c>
      <c r="R40">
        <f>(1-E40)*E4b!E40</f>
        <v>9.0427999999999908</v>
      </c>
      <c r="S40" s="2">
        <f>(1-F40)*E4b!F40</f>
        <v>12.645599999999995</v>
      </c>
      <c r="T40">
        <f>(1-G40)*E4b!G40</f>
        <v>18.399999999999999</v>
      </c>
      <c r="U40">
        <f>(1-H40)*E4b!H40</f>
        <v>45.8</v>
      </c>
      <c r="V40">
        <f>(1-I40)*E4b!I40</f>
        <v>87.8</v>
      </c>
      <c r="W40">
        <f>(1-J40)*E4b!J40</f>
        <v>174</v>
      </c>
      <c r="X40">
        <f>(1-K40)*E4b!K40</f>
        <v>416</v>
      </c>
      <c r="Y40">
        <f>(1-L40)*E4b!L40</f>
        <v>820</v>
      </c>
      <c r="Z40">
        <f>(1-M40)*E4b!M40</f>
        <v>4000</v>
      </c>
      <c r="AA40">
        <v>3</v>
      </c>
      <c r="AB40" s="3">
        <f>(E4b!C40-P40-(E4b!B40-O40))/(E4b!C40-E4b!B40)</f>
        <v>0</v>
      </c>
      <c r="AC40" s="3">
        <f>(E4b!D40-Q40-(E4b!C40-P40))/(E4b!D40-E4b!C40)</f>
        <v>0</v>
      </c>
      <c r="AD40" s="68">
        <f>(E4b!E40-R40-(E4b!D40-Q40))/(E4b!E40-E4b!D40)</f>
        <v>0.17860000000000126</v>
      </c>
      <c r="AE40" s="68">
        <f>(E4b!F40-S40-(E4b!E40-R40))/(E4b!F40-E4b!E40)</f>
        <v>5.1894736842105334E-2</v>
      </c>
      <c r="AF40" s="68">
        <f>(E4b!G40-T40-(E4b!F40-S40))/(E4b!G40-E4b!F40)</f>
        <v>0.15376470588235289</v>
      </c>
      <c r="AG40" s="68">
        <f>(E4b!H40-U40-(E4b!G40-T40))/(E4b!H40-E4b!G40)</f>
        <v>8.6666666666666711E-2</v>
      </c>
      <c r="AH40" s="68">
        <f>(E4b!I40-V40-(E4b!H40-U40))/(E4b!I40-E4b!H40)</f>
        <v>0.16</v>
      </c>
      <c r="AI40" s="68">
        <f>(E4b!J40-W40-(E4b!I40-V40))/(E4b!J40-E4b!I40)</f>
        <v>0.13799999999999998</v>
      </c>
      <c r="AJ40" s="3">
        <f>(E4b!K40-X40-(E4b!J40-W40))/(E4b!K40-E4b!J40)</f>
        <v>0.19333333333333333</v>
      </c>
      <c r="AK40" s="3">
        <f>(E4b!L40-Y40-(E4b!K40-X40))/(E4b!L40-E4b!K40)</f>
        <v>0.192</v>
      </c>
      <c r="AL40" s="3">
        <f>(E4b!M40-Z40-(E4b!L40-Y40))/(E4b!M40-E4b!L40)</f>
        <v>0.20499999999999999</v>
      </c>
      <c r="AM40" s="3">
        <f>(E4b!N40-AA40-(E4b!M40-Z40))/(E4b!N40-E4b!M40)</f>
        <v>0.2006</v>
      </c>
    </row>
    <row r="41" spans="1:39" ht="15.75" customHeight="1" x14ac:dyDescent="0.25">
      <c r="A41" s="21">
        <v>2063</v>
      </c>
      <c r="B41" s="27">
        <f t="shared" si="13"/>
        <v>0</v>
      </c>
      <c r="C41" s="27">
        <f t="shared" si="14"/>
        <v>0</v>
      </c>
      <c r="D41" s="27">
        <f t="shared" si="15"/>
        <v>0</v>
      </c>
      <c r="E41" s="27">
        <f t="shared" si="16"/>
        <v>3.9500000000000014E-2</v>
      </c>
      <c r="F41" s="27">
        <f t="shared" si="17"/>
        <v>4.300000000000001E-2</v>
      </c>
      <c r="G41" s="27">
        <f t="shared" si="18"/>
        <v>8.2500000000000032E-2</v>
      </c>
      <c r="H41" s="27">
        <f t="shared" si="19"/>
        <v>8.6000000000000021E-2</v>
      </c>
      <c r="I41" s="27">
        <f t="shared" si="20"/>
        <v>0.12550000000000003</v>
      </c>
      <c r="J41" s="27">
        <f t="shared" si="21"/>
        <v>0.13250000000000003</v>
      </c>
      <c r="K41" s="27">
        <f t="shared" si="22"/>
        <v>0.17200000000000004</v>
      </c>
      <c r="L41" s="27">
        <f t="shared" si="23"/>
        <v>0.18250000000000002</v>
      </c>
      <c r="M41" s="27">
        <f t="shared" si="24"/>
        <v>0.2</v>
      </c>
      <c r="O41">
        <f>(1-B41)*E4b!B41</f>
        <v>3.3500000000000023</v>
      </c>
      <c r="P41">
        <f>(1-C41)*E4b!C41</f>
        <v>4.3500000000000023</v>
      </c>
      <c r="Q41">
        <f>(1-D41)*E4b!D41</f>
        <v>7.3500000000000023</v>
      </c>
      <c r="R41">
        <f>(1-E41)*E4b!E41</f>
        <v>8.9806749999999909</v>
      </c>
      <c r="S41" s="2">
        <f>(1-F41)*E4b!F41</f>
        <v>12.488849999999996</v>
      </c>
      <c r="T41">
        <f>(1-G41)*E4b!G41</f>
        <v>18.350000000000001</v>
      </c>
      <c r="U41">
        <f>(1-H41)*E4b!H41</f>
        <v>45.699999999999996</v>
      </c>
      <c r="V41">
        <f>(1-I41)*E4b!I41</f>
        <v>87.449999999999989</v>
      </c>
      <c r="W41">
        <f>(1-J41)*E4b!J41</f>
        <v>173.5</v>
      </c>
      <c r="X41">
        <f>(1-K41)*E4b!K41</f>
        <v>414</v>
      </c>
      <c r="Y41">
        <f>(1-L41)*E4b!L41</f>
        <v>817.5</v>
      </c>
      <c r="Z41">
        <f>(1-M41)*E4b!M41</f>
        <v>4000</v>
      </c>
      <c r="AA41">
        <v>3</v>
      </c>
      <c r="AB41" s="3">
        <f>(E4b!C41-P41-(E4b!B41-O41))/(E4b!C41-E4b!B41)</f>
        <v>0</v>
      </c>
      <c r="AC41" s="3">
        <f>(E4b!D41-Q41-(E4b!C41-P41))/(E4b!D41-E4b!C41)</f>
        <v>0</v>
      </c>
      <c r="AD41" s="68">
        <f>(E4b!E41-R41-(E4b!D41-Q41))/(E4b!E41-E4b!D41)</f>
        <v>0.18466250000000101</v>
      </c>
      <c r="AE41" s="68">
        <f>(E4b!F41-S41-(E4b!E41-R41))/(E4b!F41-E4b!E41)</f>
        <v>5.1844594594594444E-2</v>
      </c>
      <c r="AF41" s="68">
        <f>(E4b!G41-T41-(E4b!F41-S41))/(E4b!G41-E4b!F41)</f>
        <v>0.15666906474820119</v>
      </c>
      <c r="AG41" s="68">
        <f>(E4b!H41-U41-(E4b!G41-T41))/(E4b!H41-E4b!G41)</f>
        <v>8.8333333333333527E-2</v>
      </c>
      <c r="AH41" s="68">
        <f>(E4b!I41-V41-(E4b!H41-U41))/(E4b!I41-E4b!H41)</f>
        <v>0.16500000000000015</v>
      </c>
      <c r="AI41" s="68">
        <f>(E4b!J41-W41-(E4b!I41-V41))/(E4b!J41-E4b!I41)</f>
        <v>0.13949999999999987</v>
      </c>
      <c r="AJ41" s="3">
        <f>(E4b!K41-X41-(E4b!J41-W41))/(E4b!K41-E4b!J41)</f>
        <v>0.19833333333333333</v>
      </c>
      <c r="AK41" s="3">
        <f>(E4b!L41-Y41-(E4b!K41-X41))/(E4b!L41-E4b!K41)</f>
        <v>0.193</v>
      </c>
      <c r="AL41" s="3">
        <f>(E4b!M41-Z41-(E4b!L41-Y41))/(E4b!M41-E4b!L41)</f>
        <v>0.204375</v>
      </c>
      <c r="AM41" s="3">
        <f>(E4b!N41-AA41-(E4b!M41-Z41))/(E4b!N41-E4b!M41)</f>
        <v>0.2006</v>
      </c>
    </row>
    <row r="42" spans="1:39" ht="15.75" customHeight="1" x14ac:dyDescent="0.25">
      <c r="A42" s="21">
        <v>2064</v>
      </c>
      <c r="B42" s="27">
        <f t="shared" si="13"/>
        <v>0</v>
      </c>
      <c r="C42" s="27">
        <f t="shared" si="14"/>
        <v>0</v>
      </c>
      <c r="D42" s="27">
        <f t="shared" si="15"/>
        <v>0</v>
      </c>
      <c r="E42" s="27">
        <f t="shared" si="16"/>
        <v>4.1000000000000016E-2</v>
      </c>
      <c r="F42" s="27">
        <f t="shared" si="17"/>
        <v>4.4000000000000011E-2</v>
      </c>
      <c r="G42" s="27">
        <f t="shared" si="18"/>
        <v>8.5000000000000034E-2</v>
      </c>
      <c r="H42" s="27">
        <f t="shared" si="19"/>
        <v>8.8000000000000023E-2</v>
      </c>
      <c r="I42" s="27">
        <f t="shared" si="20"/>
        <v>0.12900000000000003</v>
      </c>
      <c r="J42" s="27">
        <f t="shared" si="21"/>
        <v>0.13500000000000004</v>
      </c>
      <c r="K42" s="27">
        <f t="shared" si="22"/>
        <v>0.17600000000000005</v>
      </c>
      <c r="L42" s="27">
        <f t="shared" si="23"/>
        <v>0.18500000000000003</v>
      </c>
      <c r="M42" s="27">
        <f t="shared" si="24"/>
        <v>0.2</v>
      </c>
      <c r="O42">
        <f>(1-B42)*E4b!B42</f>
        <v>3.3000000000000025</v>
      </c>
      <c r="P42">
        <f>(1-C42)*E4b!C42</f>
        <v>4.3000000000000025</v>
      </c>
      <c r="Q42">
        <f>(1-D42)*E4b!D42</f>
        <v>7.3000000000000025</v>
      </c>
      <c r="R42">
        <f>(1-E42)*E4b!E42</f>
        <v>8.9186999999999905</v>
      </c>
      <c r="S42" s="2">
        <f>(1-F42)*E4b!F42</f>
        <v>12.332399999999994</v>
      </c>
      <c r="T42">
        <f>(1-G42)*E4b!G42</f>
        <v>18.299999999999997</v>
      </c>
      <c r="U42">
        <f>(1-H42)*E4b!H42</f>
        <v>45.599999999999994</v>
      </c>
      <c r="V42">
        <f>(1-I42)*E4b!I42</f>
        <v>87.1</v>
      </c>
      <c r="W42">
        <f>(1-J42)*E4b!J42</f>
        <v>173</v>
      </c>
      <c r="X42">
        <f>(1-K42)*E4b!K42</f>
        <v>412</v>
      </c>
      <c r="Y42">
        <f>(1-L42)*E4b!L42</f>
        <v>815</v>
      </c>
      <c r="Z42">
        <f>(1-M42)*E4b!M42</f>
        <v>4000</v>
      </c>
      <c r="AA42">
        <v>3</v>
      </c>
      <c r="AB42" s="3">
        <f>(E4b!C42-P42-(E4b!B42-O42))/(E4b!C42-E4b!B42)</f>
        <v>0</v>
      </c>
      <c r="AC42" s="3">
        <f>(E4b!D42-Q42-(E4b!C42-P42))/(E4b!D42-E4b!C42)</f>
        <v>0</v>
      </c>
      <c r="AD42" s="68">
        <f>(E4b!E42-R42-(E4b!D42-Q42))/(E4b!E42-E4b!D42)</f>
        <v>0.19065000000000096</v>
      </c>
      <c r="AE42" s="68">
        <f>(E4b!F42-S42-(E4b!E42-R42))/(E4b!F42-E4b!E42)</f>
        <v>5.1750000000000212E-2</v>
      </c>
      <c r="AF42" s="68">
        <f>(E4b!G42-T42-(E4b!F42-S42))/(E4b!G42-E4b!F42)</f>
        <v>0.15949295774647909</v>
      </c>
      <c r="AG42" s="68">
        <f>(E4b!H42-U42-(E4b!G42-T42))/(E4b!H42-E4b!G42)</f>
        <v>9.0000000000000094E-2</v>
      </c>
      <c r="AH42" s="68">
        <f>(E4b!I42-V42-(E4b!H42-U42))/(E4b!I42-E4b!H42)</f>
        <v>0.17</v>
      </c>
      <c r="AI42" s="68">
        <f>(E4b!J42-W42-(E4b!I42-V42))/(E4b!J42-E4b!I42)</f>
        <v>0.14099999999999993</v>
      </c>
      <c r="AJ42" s="3">
        <f>(E4b!K42-X42-(E4b!J42-W42))/(E4b!K42-E4b!J42)</f>
        <v>0.20333333333333334</v>
      </c>
      <c r="AK42" s="3">
        <f>(E4b!L42-Y42-(E4b!K42-X42))/(E4b!L42-E4b!K42)</f>
        <v>0.19400000000000001</v>
      </c>
      <c r="AL42" s="3">
        <f>(E4b!M42-Z42-(E4b!L42-Y42))/(E4b!M42-E4b!L42)</f>
        <v>0.20374999999999999</v>
      </c>
      <c r="AM42" s="3">
        <f>(E4b!N42-AA42-(E4b!M42-Z42))/(E4b!N42-E4b!M42)</f>
        <v>0.2006</v>
      </c>
    </row>
    <row r="43" spans="1:39" ht="15.75" customHeight="1" x14ac:dyDescent="0.25">
      <c r="A43" s="21">
        <v>2065</v>
      </c>
      <c r="B43" s="27">
        <f t="shared" si="13"/>
        <v>0</v>
      </c>
      <c r="C43" s="27">
        <f t="shared" si="14"/>
        <v>0</v>
      </c>
      <c r="D43" s="27">
        <f t="shared" si="15"/>
        <v>0</v>
      </c>
      <c r="E43" s="27">
        <f t="shared" si="16"/>
        <v>4.2500000000000017E-2</v>
      </c>
      <c r="F43" s="27">
        <f t="shared" si="17"/>
        <v>4.5000000000000012E-2</v>
      </c>
      <c r="G43" s="27">
        <f t="shared" si="18"/>
        <v>8.7500000000000036E-2</v>
      </c>
      <c r="H43" s="27">
        <f t="shared" si="19"/>
        <v>9.0000000000000024E-2</v>
      </c>
      <c r="I43" s="27">
        <f t="shared" si="20"/>
        <v>0.13250000000000003</v>
      </c>
      <c r="J43" s="27">
        <f t="shared" si="21"/>
        <v>0.13750000000000004</v>
      </c>
      <c r="K43" s="27">
        <f t="shared" si="22"/>
        <v>0.18000000000000005</v>
      </c>
      <c r="L43" s="27">
        <f t="shared" si="23"/>
        <v>0.18750000000000003</v>
      </c>
      <c r="M43" s="27">
        <f t="shared" si="24"/>
        <v>0.2</v>
      </c>
      <c r="O43">
        <f>(1-B43)*E4b!B43</f>
        <v>3.2500000000000027</v>
      </c>
      <c r="P43">
        <f>(1-C43)*E4b!C43</f>
        <v>4.2500000000000027</v>
      </c>
      <c r="Q43">
        <f>(1-D43)*E4b!D43</f>
        <v>7.2500000000000027</v>
      </c>
      <c r="R43">
        <f>(1-E43)*E4b!E43</f>
        <v>8.8568749999999898</v>
      </c>
      <c r="S43" s="2">
        <f>(1-F43)*E4b!F43</f>
        <v>12.176249999999994</v>
      </c>
      <c r="T43">
        <f>(1-G43)*E4b!G43</f>
        <v>18.25</v>
      </c>
      <c r="U43">
        <f>(1-H43)*E4b!H43</f>
        <v>45.499999999999993</v>
      </c>
      <c r="V43">
        <f>(1-I43)*E4b!I43</f>
        <v>86.75</v>
      </c>
      <c r="W43">
        <f>(1-J43)*E4b!J43</f>
        <v>172.5</v>
      </c>
      <c r="X43">
        <f>(1-K43)*E4b!K43</f>
        <v>410</v>
      </c>
      <c r="Y43">
        <f>(1-L43)*E4b!L43</f>
        <v>812.5</v>
      </c>
      <c r="Z43">
        <f>(1-M43)*E4b!M43</f>
        <v>4000</v>
      </c>
      <c r="AA43">
        <v>3</v>
      </c>
      <c r="AB43" s="3">
        <f>(E4b!C43-P43-(E4b!B43-O43))/(E4b!C43-E4b!B43)</f>
        <v>0</v>
      </c>
      <c r="AC43" s="3">
        <f>(E4b!D43-Q43-(E4b!C43-P43))/(E4b!D43-E4b!C43)</f>
        <v>0</v>
      </c>
      <c r="AD43" s="68">
        <f>(E4b!E43-R43-(E4b!D43-Q43))/(E4b!E43-E4b!D43)</f>
        <v>0.19656250000000106</v>
      </c>
      <c r="AE43" s="68">
        <f>(E4b!F43-S43-(E4b!E43-R43))/(E4b!F43-E4b!E43)</f>
        <v>5.1607142857143046E-2</v>
      </c>
      <c r="AF43" s="68">
        <f>(E4b!G43-T43-(E4b!F43-S43))/(E4b!G43-E4b!F43)</f>
        <v>0.16224137931034466</v>
      </c>
      <c r="AG43" s="68">
        <f>(E4b!H43-U43-(E4b!G43-T43))/(E4b!H43-E4b!G43)</f>
        <v>9.166666666666691E-2</v>
      </c>
      <c r="AH43" s="68">
        <f>(E4b!I43-V43-(E4b!H43-U43))/(E4b!I43-E4b!H43)</f>
        <v>0.17499999999999985</v>
      </c>
      <c r="AI43" s="68">
        <f>(E4b!J43-W43-(E4b!I43-V43))/(E4b!J43-E4b!I43)</f>
        <v>0.14249999999999999</v>
      </c>
      <c r="AJ43" s="3">
        <f>(E4b!K43-X43-(E4b!J43-W43))/(E4b!K43-E4b!J43)</f>
        <v>0.20833333333333334</v>
      </c>
      <c r="AK43" s="3">
        <f>(E4b!L43-Y43-(E4b!K43-X43))/(E4b!L43-E4b!K43)</f>
        <v>0.19500000000000001</v>
      </c>
      <c r="AL43" s="3">
        <f>(E4b!M43-Z43-(E4b!L43-Y43))/(E4b!M43-E4b!L43)</f>
        <v>0.203125</v>
      </c>
      <c r="AM43" s="3">
        <f>(E4b!N43-AA43-(E4b!M43-Z43))/(E4b!N43-E4b!M43)</f>
        <v>0.2006</v>
      </c>
    </row>
    <row r="44" spans="1:39" ht="15.75" customHeight="1" x14ac:dyDescent="0.25">
      <c r="A44" s="21">
        <v>2066</v>
      </c>
      <c r="B44" s="27">
        <f t="shared" si="13"/>
        <v>0</v>
      </c>
      <c r="C44" s="27">
        <f t="shared" si="14"/>
        <v>0</v>
      </c>
      <c r="D44" s="27">
        <f t="shared" si="15"/>
        <v>0</v>
      </c>
      <c r="E44" s="27">
        <f t="shared" si="16"/>
        <v>4.4000000000000018E-2</v>
      </c>
      <c r="F44" s="27">
        <f t="shared" si="17"/>
        <v>4.6000000000000013E-2</v>
      </c>
      <c r="G44" s="27">
        <f t="shared" si="18"/>
        <v>9.0000000000000038E-2</v>
      </c>
      <c r="H44" s="27">
        <f t="shared" si="19"/>
        <v>9.2000000000000026E-2</v>
      </c>
      <c r="I44" s="27">
        <f t="shared" si="20"/>
        <v>0.13600000000000004</v>
      </c>
      <c r="J44" s="27">
        <f t="shared" si="21"/>
        <v>0.14000000000000004</v>
      </c>
      <c r="K44" s="27">
        <f t="shared" si="22"/>
        <v>0.18400000000000005</v>
      </c>
      <c r="L44" s="27">
        <f t="shared" si="23"/>
        <v>0.19000000000000003</v>
      </c>
      <c r="M44" s="27">
        <f t="shared" si="24"/>
        <v>0.2</v>
      </c>
      <c r="O44">
        <f>(1-B44)*E4b!B44</f>
        <v>3.2000000000000028</v>
      </c>
      <c r="P44">
        <f>(1-C44)*E4b!C44</f>
        <v>4.2000000000000028</v>
      </c>
      <c r="Q44">
        <f>(1-D44)*E4b!D44</f>
        <v>7.2000000000000028</v>
      </c>
      <c r="R44">
        <f>(1-E44)*E4b!E44</f>
        <v>8.7951999999999888</v>
      </c>
      <c r="S44" s="2">
        <f>(1-F44)*E4b!F44</f>
        <v>12.020399999999993</v>
      </c>
      <c r="T44">
        <f>(1-G44)*E4b!G44</f>
        <v>18.2</v>
      </c>
      <c r="U44">
        <f>(1-H44)*E4b!H44</f>
        <v>45.4</v>
      </c>
      <c r="V44">
        <f>(1-I44)*E4b!I44</f>
        <v>86.4</v>
      </c>
      <c r="W44">
        <f>(1-J44)*E4b!J44</f>
        <v>172</v>
      </c>
      <c r="X44">
        <f>(1-K44)*E4b!K44</f>
        <v>408</v>
      </c>
      <c r="Y44">
        <f>(1-L44)*E4b!L44</f>
        <v>809.99999999999989</v>
      </c>
      <c r="Z44">
        <f>(1-M44)*E4b!M44</f>
        <v>4000</v>
      </c>
      <c r="AA44">
        <v>3</v>
      </c>
      <c r="AB44" s="3">
        <f>(E4b!C44-P44-(E4b!B44-O44))/(E4b!C44-E4b!B44)</f>
        <v>0</v>
      </c>
      <c r="AC44" s="3">
        <f>(E4b!D44-Q44-(E4b!C44-P44))/(E4b!D44-E4b!C44)</f>
        <v>0</v>
      </c>
      <c r="AD44" s="68">
        <f>(E4b!E44-R44-(E4b!D44-Q44))/(E4b!E44-E4b!D44)</f>
        <v>0.20240000000000136</v>
      </c>
      <c r="AE44" s="68">
        <f>(E4b!F44-S44-(E4b!E44-R44))/(E4b!F44-E4b!E44)</f>
        <v>5.1411764705882615E-2</v>
      </c>
      <c r="AF44" s="68">
        <f>(E4b!G44-T44-(E4b!F44-S44))/(E4b!G44-E4b!F44)</f>
        <v>0.16491891891891874</v>
      </c>
      <c r="AG44" s="68">
        <f>(E4b!H44-U44-(E4b!G44-T44))/(E4b!H44-E4b!G44)</f>
        <v>9.3333333333333351E-2</v>
      </c>
      <c r="AH44" s="68">
        <f>(E4b!I44-V44-(E4b!H44-U44))/(E4b!I44-E4b!H44)</f>
        <v>0.17999999999999985</v>
      </c>
      <c r="AI44" s="68">
        <f>(E4b!J44-W44-(E4b!I44-V44))/(E4b!J44-E4b!I44)</f>
        <v>0.14400000000000004</v>
      </c>
      <c r="AJ44" s="3">
        <f>(E4b!K44-X44-(E4b!J44-W44))/(E4b!K44-E4b!J44)</f>
        <v>0.21333333333333335</v>
      </c>
      <c r="AK44" s="3">
        <f>(E4b!L44-Y44-(E4b!K44-X44))/(E4b!L44-E4b!K44)</f>
        <v>0.19600000000000023</v>
      </c>
      <c r="AL44" s="3">
        <f>(E4b!M44-Z44-(E4b!L44-Y44))/(E4b!M44-E4b!L44)</f>
        <v>0.20249999999999996</v>
      </c>
      <c r="AM44" s="3">
        <f>(E4b!N44-AA44-(E4b!M44-Z44))/(E4b!N44-E4b!M44)</f>
        <v>0.2006</v>
      </c>
    </row>
    <row r="45" spans="1:39" ht="15.75" customHeight="1" x14ac:dyDescent="0.25">
      <c r="A45" s="21">
        <v>2067</v>
      </c>
      <c r="B45" s="27">
        <f t="shared" si="13"/>
        <v>0</v>
      </c>
      <c r="C45" s="27">
        <f t="shared" si="14"/>
        <v>0</v>
      </c>
      <c r="D45" s="27">
        <f t="shared" si="15"/>
        <v>0</v>
      </c>
      <c r="E45" s="27">
        <f t="shared" si="16"/>
        <v>4.550000000000002E-2</v>
      </c>
      <c r="F45" s="27">
        <f t="shared" si="17"/>
        <v>4.7000000000000014E-2</v>
      </c>
      <c r="G45" s="27">
        <f t="shared" si="18"/>
        <v>9.2500000000000041E-2</v>
      </c>
      <c r="H45" s="27">
        <f t="shared" si="19"/>
        <v>9.4000000000000028E-2</v>
      </c>
      <c r="I45" s="27">
        <f t="shared" si="20"/>
        <v>0.13950000000000004</v>
      </c>
      <c r="J45" s="27">
        <f t="shared" si="21"/>
        <v>0.14250000000000004</v>
      </c>
      <c r="K45" s="27">
        <f t="shared" si="22"/>
        <v>0.18800000000000006</v>
      </c>
      <c r="L45" s="27">
        <f t="shared" si="23"/>
        <v>0.19250000000000003</v>
      </c>
      <c r="M45" s="27">
        <f t="shared" si="24"/>
        <v>0.2</v>
      </c>
      <c r="O45">
        <f>(1-B45)*E4b!B45</f>
        <v>3.150000000000003</v>
      </c>
      <c r="P45">
        <f>(1-C45)*E4b!C45</f>
        <v>4.150000000000003</v>
      </c>
      <c r="Q45">
        <f>(1-D45)*E4b!D45</f>
        <v>7.150000000000003</v>
      </c>
      <c r="R45">
        <f>(1-E45)*E4b!E45</f>
        <v>8.7336749999999892</v>
      </c>
      <c r="S45" s="2">
        <f>(1-F45)*E4b!F45</f>
        <v>11.864849999999993</v>
      </c>
      <c r="T45">
        <f>(1-G45)*E4b!G45</f>
        <v>18.149999999999999</v>
      </c>
      <c r="U45">
        <f>(1-H45)*E4b!H45</f>
        <v>45.3</v>
      </c>
      <c r="V45">
        <f>(1-I45)*E4b!I45</f>
        <v>86.05</v>
      </c>
      <c r="W45">
        <f>(1-J45)*E4b!J45</f>
        <v>171.5</v>
      </c>
      <c r="X45">
        <f>(1-K45)*E4b!K45</f>
        <v>406</v>
      </c>
      <c r="Y45">
        <f>(1-L45)*E4b!L45</f>
        <v>807.5</v>
      </c>
      <c r="Z45">
        <f>(1-M45)*E4b!M45</f>
        <v>4000</v>
      </c>
      <c r="AA45">
        <v>3</v>
      </c>
      <c r="AB45" s="3">
        <f>(E4b!C45-P45-(E4b!B45-O45))/(E4b!C45-E4b!B45)</f>
        <v>0</v>
      </c>
      <c r="AC45" s="3">
        <f>(E4b!D45-Q45-(E4b!C45-P45))/(E4b!D45-E4b!C45)</f>
        <v>0</v>
      </c>
      <c r="AD45" s="68">
        <f>(E4b!E45-R45-(E4b!D45-Q45))/(E4b!E45-E4b!D45)</f>
        <v>0.20816250000000094</v>
      </c>
      <c r="AE45" s="68">
        <f>(E4b!F45-S45-(E4b!E45-R45))/(E4b!F45-E4b!E45)</f>
        <v>5.1159090909091355E-2</v>
      </c>
      <c r="AF45" s="68">
        <f>(E4b!G45-T45-(E4b!F45-S45))/(E4b!G45-E4b!F45)</f>
        <v>0.16752980132450329</v>
      </c>
      <c r="AG45" s="68">
        <f>(E4b!H45-U45-(E4b!G45-T45))/(E4b!H45-E4b!G45)</f>
        <v>9.5000000000000043E-2</v>
      </c>
      <c r="AH45" s="68">
        <f>(E4b!I45-V45-(E4b!H45-U45))/(E4b!I45-E4b!H45)</f>
        <v>0.185</v>
      </c>
      <c r="AI45" s="68">
        <f>(E4b!J45-W45-(E4b!I45-V45))/(E4b!J45-E4b!I45)</f>
        <v>0.14549999999999996</v>
      </c>
      <c r="AJ45" s="3">
        <f>(E4b!K45-X45-(E4b!J45-W45))/(E4b!K45-E4b!J45)</f>
        <v>0.21833333333333332</v>
      </c>
      <c r="AK45" s="3">
        <f>(E4b!L45-Y45-(E4b!K45-X45))/(E4b!L45-E4b!K45)</f>
        <v>0.19700000000000001</v>
      </c>
      <c r="AL45" s="3">
        <f>(E4b!M45-Z45-(E4b!L45-Y45))/(E4b!M45-E4b!L45)</f>
        <v>0.201875</v>
      </c>
      <c r="AM45" s="3">
        <f>(E4b!N45-AA45-(E4b!M45-Z45))/(E4b!N45-E4b!M45)</f>
        <v>0.2006</v>
      </c>
    </row>
    <row r="46" spans="1:39" ht="15.75" customHeight="1" x14ac:dyDescent="0.25">
      <c r="A46" s="21">
        <v>2068</v>
      </c>
      <c r="B46" s="27">
        <f t="shared" si="13"/>
        <v>0</v>
      </c>
      <c r="C46" s="27">
        <f t="shared" si="14"/>
        <v>0</v>
      </c>
      <c r="D46" s="27">
        <f t="shared" si="15"/>
        <v>0</v>
      </c>
      <c r="E46" s="27">
        <f t="shared" si="16"/>
        <v>4.7000000000000021E-2</v>
      </c>
      <c r="F46" s="27">
        <f t="shared" si="17"/>
        <v>4.8000000000000015E-2</v>
      </c>
      <c r="G46" s="27">
        <f t="shared" si="18"/>
        <v>9.5000000000000043E-2</v>
      </c>
      <c r="H46" s="27">
        <f t="shared" si="19"/>
        <v>9.600000000000003E-2</v>
      </c>
      <c r="I46" s="27">
        <f t="shared" si="20"/>
        <v>0.14300000000000004</v>
      </c>
      <c r="J46" s="27">
        <f t="shared" si="21"/>
        <v>0.14500000000000005</v>
      </c>
      <c r="K46" s="27">
        <f t="shared" si="22"/>
        <v>0.19200000000000006</v>
      </c>
      <c r="L46" s="27">
        <f t="shared" si="23"/>
        <v>0.19500000000000003</v>
      </c>
      <c r="M46" s="27">
        <f t="shared" si="24"/>
        <v>0.2</v>
      </c>
      <c r="O46">
        <f>(1-B46)*E4b!B46</f>
        <v>3.1000000000000032</v>
      </c>
      <c r="P46">
        <f>(1-C46)*E4b!C46</f>
        <v>4.1000000000000032</v>
      </c>
      <c r="Q46">
        <f>(1-D46)*E4b!D46</f>
        <v>7.1000000000000032</v>
      </c>
      <c r="R46">
        <f>(1-E46)*E4b!E46</f>
        <v>8.6722999999999875</v>
      </c>
      <c r="S46" s="2">
        <f>(1-F46)*E4b!F46</f>
        <v>11.709599999999993</v>
      </c>
      <c r="T46">
        <f>(1-G46)*E4b!G46</f>
        <v>18.099999999999998</v>
      </c>
      <c r="U46">
        <f>(1-H46)*E4b!H46</f>
        <v>45.199999999999996</v>
      </c>
      <c r="V46">
        <f>(1-I46)*E4b!I46</f>
        <v>85.7</v>
      </c>
      <c r="W46">
        <f>(1-J46)*E4b!J46</f>
        <v>171</v>
      </c>
      <c r="X46">
        <f>(1-K46)*E4b!K46</f>
        <v>403.99999999999994</v>
      </c>
      <c r="Y46">
        <f>(1-L46)*E4b!L46</f>
        <v>804.99999999999989</v>
      </c>
      <c r="Z46">
        <f>(1-M46)*E4b!M46</f>
        <v>4000</v>
      </c>
      <c r="AA46">
        <v>3</v>
      </c>
      <c r="AB46" s="3">
        <f>(E4b!C46-P46-(E4b!B46-O46))/(E4b!C46-E4b!B46)</f>
        <v>0</v>
      </c>
      <c r="AC46" s="3">
        <f>(E4b!D46-Q46-(E4b!C46-P46))/(E4b!D46-E4b!C46)</f>
        <v>0</v>
      </c>
      <c r="AD46" s="68">
        <f>(E4b!E46-R46-(E4b!D46-Q46))/(E4b!E46-E4b!D46)</f>
        <v>0.21385000000000159</v>
      </c>
      <c r="AE46" s="68">
        <f>(E4b!F46-S46-(E4b!E46-R46))/(E4b!F46-E4b!E46)</f>
        <v>5.0843750000000194E-2</v>
      </c>
      <c r="AF46" s="68">
        <f>(E4b!G46-T46-(E4b!F46-S46))/(E4b!G46-E4b!F46)</f>
        <v>0.17007792207792213</v>
      </c>
      <c r="AG46" s="68">
        <f>(E4b!H46-U46-(E4b!G46-T46))/(E4b!H46-E4b!G46)</f>
        <v>9.6666666666666734E-2</v>
      </c>
      <c r="AH46" s="68">
        <f>(E4b!I46-V46-(E4b!H46-U46))/(E4b!I46-E4b!H46)</f>
        <v>0.18999999999999986</v>
      </c>
      <c r="AI46" s="68">
        <f>(E4b!J46-W46-(E4b!I46-V46))/(E4b!J46-E4b!I46)</f>
        <v>0.14700000000000002</v>
      </c>
      <c r="AJ46" s="3">
        <f>(E4b!K46-X46-(E4b!J46-W46))/(E4b!K46-E4b!J46)</f>
        <v>0.22333333333333352</v>
      </c>
      <c r="AK46" s="3">
        <f>(E4b!L46-Y46-(E4b!K46-X46))/(E4b!L46-E4b!K46)</f>
        <v>0.19800000000000012</v>
      </c>
      <c r="AL46" s="3">
        <f>(E4b!M46-Z46-(E4b!L46-Y46))/(E4b!M46-E4b!L46)</f>
        <v>0.20124999999999998</v>
      </c>
      <c r="AM46" s="3">
        <f>(E4b!N46-AA46-(E4b!M46-Z46))/(E4b!N46-E4b!M46)</f>
        <v>0.2006</v>
      </c>
    </row>
    <row r="47" spans="1:39" ht="15.75" customHeight="1" x14ac:dyDescent="0.25">
      <c r="A47" s="21">
        <v>2069</v>
      </c>
      <c r="B47" s="27">
        <f t="shared" si="13"/>
        <v>0</v>
      </c>
      <c r="C47" s="27">
        <f t="shared" si="14"/>
        <v>0</v>
      </c>
      <c r="D47" s="27">
        <f t="shared" si="15"/>
        <v>0</v>
      </c>
      <c r="E47" s="27">
        <f t="shared" si="16"/>
        <v>4.8500000000000022E-2</v>
      </c>
      <c r="F47" s="27">
        <f t="shared" si="17"/>
        <v>4.9000000000000016E-2</v>
      </c>
      <c r="G47" s="27">
        <f t="shared" si="18"/>
        <v>9.7500000000000045E-2</v>
      </c>
      <c r="H47" s="27">
        <f t="shared" si="19"/>
        <v>9.8000000000000032E-2</v>
      </c>
      <c r="I47" s="27">
        <f t="shared" si="20"/>
        <v>0.14650000000000005</v>
      </c>
      <c r="J47" s="27">
        <f t="shared" si="21"/>
        <v>0.14750000000000005</v>
      </c>
      <c r="K47" s="27">
        <f t="shared" si="22"/>
        <v>0.19600000000000006</v>
      </c>
      <c r="L47" s="27">
        <f t="shared" si="23"/>
        <v>0.19750000000000004</v>
      </c>
      <c r="M47" s="27">
        <f t="shared" si="24"/>
        <v>0.2</v>
      </c>
      <c r="O47">
        <f>(1-B47)*E4b!B47</f>
        <v>3.0500000000000034</v>
      </c>
      <c r="P47">
        <f>(1-C47)*E4b!C47</f>
        <v>4.0500000000000034</v>
      </c>
      <c r="Q47">
        <f>(1-D47)*E4b!D47</f>
        <v>7.0500000000000034</v>
      </c>
      <c r="R47">
        <f>(1-E47)*E4b!E47</f>
        <v>8.6110749999999872</v>
      </c>
      <c r="S47" s="2">
        <f>(1-F47)*E4b!F47</f>
        <v>11.554649999999993</v>
      </c>
      <c r="T47">
        <f>(1-G47)*E4b!G47</f>
        <v>18.05</v>
      </c>
      <c r="U47">
        <f>(1-H47)*E4b!H47</f>
        <v>45.099999999999994</v>
      </c>
      <c r="V47">
        <f>(1-I47)*E4b!I47</f>
        <v>85.35</v>
      </c>
      <c r="W47">
        <f>(1-J47)*E4b!J47</f>
        <v>170.49999999999997</v>
      </c>
      <c r="X47">
        <f>(1-K47)*E4b!K47</f>
        <v>401.99999999999994</v>
      </c>
      <c r="Y47">
        <f>(1-L47)*E4b!L47</f>
        <v>802.5</v>
      </c>
      <c r="Z47">
        <f>(1-M47)*E4b!M47</f>
        <v>4000</v>
      </c>
      <c r="AA47">
        <v>3</v>
      </c>
      <c r="AB47" s="3">
        <f>(E4b!C47-P47-(E4b!B47-O47))/(E4b!C47-E4b!B47)</f>
        <v>0</v>
      </c>
      <c r="AC47" s="3">
        <f>(E4b!D47-Q47-(E4b!C47-P47))/(E4b!D47-E4b!C47)</f>
        <v>0</v>
      </c>
      <c r="AD47" s="68">
        <f>(E4b!E47-R47-(E4b!D47-Q47))/(E4b!E47-E4b!D47)</f>
        <v>0.21946250000000153</v>
      </c>
      <c r="AE47" s="68">
        <f>(E4b!F47-S47-(E4b!E47-R47))/(E4b!F47-E4b!E47)</f>
        <v>5.0459677419354886E-2</v>
      </c>
      <c r="AF47" s="68">
        <f>(E4b!G47-T47-(E4b!F47-S47))/(E4b!G47-E4b!F47)</f>
        <v>0.17256687898089151</v>
      </c>
      <c r="AG47" s="68">
        <f>(E4b!H47-U47-(E4b!G47-T47))/(E4b!H47-E4b!G47)</f>
        <v>9.833333333333355E-2</v>
      </c>
      <c r="AH47" s="68">
        <f>(E4b!I47-V47-(E4b!H47-U47))/(E4b!I47-E4b!H47)</f>
        <v>0.19500000000000001</v>
      </c>
      <c r="AI47" s="68">
        <f>(E4b!J47-W47-(E4b!I47-V47))/(E4b!J47-E4b!I47)</f>
        <v>0.14850000000000022</v>
      </c>
      <c r="AJ47" s="3">
        <f>(E4b!K47-X47-(E4b!J47-W47))/(E4b!K47-E4b!J47)</f>
        <v>0.22833333333333342</v>
      </c>
      <c r="AK47" s="3">
        <f>(E4b!L47-Y47-(E4b!K47-X47))/(E4b!L47-E4b!K47)</f>
        <v>0.1989999999999999</v>
      </c>
      <c r="AL47" s="3">
        <f>(E4b!M47-Z47-(E4b!L47-Y47))/(E4b!M47-E4b!L47)</f>
        <v>0.200625</v>
      </c>
      <c r="AM47" s="3">
        <f>(E4b!N47-AA47-(E4b!M47-Z47))/(E4b!N47-E4b!M47)</f>
        <v>0.2006</v>
      </c>
    </row>
    <row r="48" spans="1:39" ht="15.75" customHeight="1" x14ac:dyDescent="0.25">
      <c r="A48" s="21">
        <v>2070</v>
      </c>
      <c r="B48" s="28">
        <v>0</v>
      </c>
      <c r="C48" s="28">
        <v>0</v>
      </c>
      <c r="D48" s="28">
        <v>0</v>
      </c>
      <c r="E48" s="28">
        <v>0.05</v>
      </c>
      <c r="F48" s="28">
        <v>0.05</v>
      </c>
      <c r="G48" s="28">
        <v>0.1</v>
      </c>
      <c r="H48" s="28">
        <v>0.1</v>
      </c>
      <c r="I48" s="28">
        <v>0.15</v>
      </c>
      <c r="J48" s="28">
        <v>0.15</v>
      </c>
      <c r="K48" s="28">
        <v>0.2</v>
      </c>
      <c r="L48" s="28">
        <v>0.2</v>
      </c>
      <c r="M48" s="28">
        <v>0.2</v>
      </c>
      <c r="O48">
        <f>(1-B48)*E4b!B48</f>
        <v>3</v>
      </c>
      <c r="P48">
        <f>(1-C48)*E4b!C48</f>
        <v>4</v>
      </c>
      <c r="Q48">
        <f>(1-D48)*E4b!D48</f>
        <v>7</v>
      </c>
      <c r="R48">
        <f>(1-E48)*E4b!E48</f>
        <v>8.5499999999999989</v>
      </c>
      <c r="S48">
        <f>(1-F48)*E4b!F48</f>
        <v>11.399999999999999</v>
      </c>
      <c r="T48">
        <f>(1-G48)*E4b!G48</f>
        <v>18</v>
      </c>
      <c r="U48">
        <f>(1-H48)*E4b!H48</f>
        <v>45</v>
      </c>
      <c r="V48">
        <f>(1-I48)*E4b!I48</f>
        <v>85</v>
      </c>
      <c r="W48">
        <f>(1-J48)*E4b!J48</f>
        <v>170</v>
      </c>
      <c r="X48">
        <f>(1-K48)*E4b!K48</f>
        <v>400</v>
      </c>
      <c r="Y48">
        <f>(1-L48)*E4b!L48</f>
        <v>800</v>
      </c>
      <c r="Z48">
        <f>(1-M48)*E4b!M48</f>
        <v>4000</v>
      </c>
      <c r="AA48">
        <v>3</v>
      </c>
      <c r="AB48" s="3">
        <f>(E4b!C48-P48-(E4b!B48-O48))/(E4b!C48-E4b!B48)</f>
        <v>0</v>
      </c>
      <c r="AC48" s="3">
        <f>(E4b!D48-Q48-(E4b!C48-P48))/(E4b!D48-E4b!C48)</f>
        <v>0</v>
      </c>
      <c r="AD48" s="68">
        <f>(E4b!E48-R48-(E4b!D48-Q48))/(E4b!E48-E4b!D48)</f>
        <v>0.22500000000000053</v>
      </c>
      <c r="AE48" s="68">
        <f>(E4b!F48-S48-(E4b!E48-R48))/(E4b!F48-E4b!E48)</f>
        <v>5.0000000000000121E-2</v>
      </c>
      <c r="AF48" s="68">
        <f>(E4b!G48-T48-(E4b!F48-S48))/(E4b!G48-E4b!F48)</f>
        <v>0.17499999999999982</v>
      </c>
      <c r="AG48" s="68">
        <f>(E4b!H48-U48-(E4b!G48-T48))/(E4b!H48-E4b!G48)</f>
        <v>0.1</v>
      </c>
      <c r="AH48" s="68">
        <f>(E4b!I48-V48-(E4b!H48-U48))/(E4b!I48-E4b!H48)</f>
        <v>0.2</v>
      </c>
      <c r="AI48" s="68">
        <f>(E4b!J48-W48-(E4b!I48-V48))/(E4b!J48-E4b!I48)</f>
        <v>0.15</v>
      </c>
      <c r="AJ48" s="3">
        <f>(E4b!K48-X48-(E4b!J48-W48))/(E4b!K48-E4b!J48)</f>
        <v>0.23333333333333334</v>
      </c>
      <c r="AK48" s="3">
        <f>(E4b!L48-Y48-(E4b!K48-X48))/(E4b!L48-E4b!K48)</f>
        <v>0.2</v>
      </c>
      <c r="AL48" s="3">
        <f>(E4b!M48-Z48-(E4b!L48-Y48))/(E4b!M48-E4b!L48)</f>
        <v>0.2</v>
      </c>
      <c r="AM48" s="3">
        <f>(E4b!N48-AA48-(E4b!M48-Z48))/(E4b!N48-E4b!M48)</f>
        <v>0.2006</v>
      </c>
    </row>
    <row r="49" spans="1:39" ht="15.75" customHeight="1" x14ac:dyDescent="0.25">
      <c r="A49" s="21">
        <v>2071</v>
      </c>
      <c r="B49" s="27">
        <f t="shared" ref="B49:B57" si="25">B48+(B$58-B$48)/10</f>
        <v>0</v>
      </c>
      <c r="C49" s="27">
        <f t="shared" ref="C49:C57" si="26">C48+(C$58-C$48)/10</f>
        <v>0</v>
      </c>
      <c r="D49" s="27">
        <f t="shared" ref="D49:D57" si="27">D48+(D$58-D$48)/10</f>
        <v>0</v>
      </c>
      <c r="E49" s="27">
        <f t="shared" ref="E49:E57" si="28">E48+(E$58-E$48)/10</f>
        <v>0.05</v>
      </c>
      <c r="F49" s="27">
        <f t="shared" ref="F49:F57" si="29">F48+(F$58-F$48)/10</f>
        <v>0.05</v>
      </c>
      <c r="G49" s="27">
        <f t="shared" ref="G49:G57" si="30">G48+(G$58-G$48)/10</f>
        <v>0.1</v>
      </c>
      <c r="H49" s="27">
        <f t="shared" ref="H49:H57" si="31">H48+(H$58-H$48)/10</f>
        <v>0.1</v>
      </c>
      <c r="I49" s="27">
        <f t="shared" ref="I49:I57" si="32">I48+(I$58-I$48)/10</f>
        <v>0.15</v>
      </c>
      <c r="J49" s="27">
        <f t="shared" ref="J49:J57" si="33">J48+(J$58-J$48)/10</f>
        <v>0.15</v>
      </c>
      <c r="K49" s="27">
        <f t="shared" ref="K49:K57" si="34">K48+(K$58-K$48)/10</f>
        <v>0.2</v>
      </c>
      <c r="L49" s="27">
        <f t="shared" ref="L49:L57" si="35">L48+(L$58-L$48)/10</f>
        <v>0.2</v>
      </c>
      <c r="M49" s="27">
        <f t="shared" ref="M49:M57" si="36">M48+(M$58-M$48)/10</f>
        <v>0.2</v>
      </c>
      <c r="O49">
        <f>(1-B49)*E4b!B49</f>
        <v>3</v>
      </c>
      <c r="P49">
        <f>(1-C49)*E4b!C49</f>
        <v>4</v>
      </c>
      <c r="Q49">
        <f>(1-D49)*E4b!D49</f>
        <v>7</v>
      </c>
      <c r="R49">
        <f>(1-E49)*E4b!E49</f>
        <v>8.5499999999999989</v>
      </c>
      <c r="S49">
        <f>(1-F49)*E4b!F49</f>
        <v>11.21</v>
      </c>
      <c r="T49">
        <f>(1-G49)*E4b!G49</f>
        <v>18</v>
      </c>
      <c r="U49">
        <f>(1-H49)*E4b!H49</f>
        <v>45</v>
      </c>
      <c r="V49">
        <f>(1-I49)*E4b!I49</f>
        <v>85</v>
      </c>
      <c r="W49">
        <f>(1-J49)*E4b!J49</f>
        <v>170</v>
      </c>
      <c r="X49">
        <f>(1-K49)*E4b!K49</f>
        <v>400</v>
      </c>
      <c r="Y49">
        <f>(1-L49)*E4b!L49</f>
        <v>800</v>
      </c>
      <c r="Z49">
        <f>(1-M49)*E4b!M49</f>
        <v>4000</v>
      </c>
      <c r="AA49">
        <v>3</v>
      </c>
      <c r="AB49" s="3">
        <f>(E4b!C49-P49-(E4b!B49-O49))/(E4b!C49-E4b!B49)</f>
        <v>0</v>
      </c>
      <c r="AC49" s="3">
        <f>(E4b!D49-Q49-(E4b!C49-P49))/(E4b!D49-E4b!C49)</f>
        <v>0</v>
      </c>
      <c r="AD49" s="68">
        <f>(E4b!E49-R49-(E4b!D49-Q49))/(E4b!E49-E4b!D49)</f>
        <v>0.22500000000000053</v>
      </c>
      <c r="AE49" s="68">
        <f>(E4b!F49-S49-(E4b!E49-R49))/(E4b!F49-E4b!E49)</f>
        <v>4.9999999999999559E-2</v>
      </c>
      <c r="AF49" s="68">
        <f>(E4b!G49-T49-(E4b!F49-S49))/(E4b!G49-E4b!F49)</f>
        <v>0.17195121951219516</v>
      </c>
      <c r="AG49" s="68">
        <f>(E4b!H49-U49-(E4b!G49-T49))/(E4b!H49-E4b!G49)</f>
        <v>0.1</v>
      </c>
      <c r="AH49" s="68">
        <f>(E4b!I49-V49-(E4b!H49-U49))/(E4b!I49-E4b!H49)</f>
        <v>0.2</v>
      </c>
      <c r="AI49" s="68">
        <f>(E4b!J49-W49-(E4b!I49-V49))/(E4b!J49-E4b!I49)</f>
        <v>0.15</v>
      </c>
      <c r="AJ49" s="3">
        <f>(E4b!K49-X49-(E4b!J49-W49))/(E4b!K49-E4b!J49)</f>
        <v>0.23333333333333334</v>
      </c>
      <c r="AK49" s="3">
        <f>(E4b!L49-Y49-(E4b!K49-X49))/(E4b!L49-E4b!K49)</f>
        <v>0.2</v>
      </c>
      <c r="AL49" s="3">
        <f>(E4b!M49-Z49-(E4b!L49-Y49))/(E4b!M49-E4b!L49)</f>
        <v>0.2</v>
      </c>
      <c r="AM49" s="3">
        <f>(E4b!N49-AA49-(E4b!M49-Z49))/(E4b!N49-E4b!M49)</f>
        <v>0.2006</v>
      </c>
    </row>
    <row r="50" spans="1:39" ht="15.75" customHeight="1" x14ac:dyDescent="0.25">
      <c r="A50" s="21">
        <v>2072</v>
      </c>
      <c r="B50" s="27">
        <f t="shared" si="25"/>
        <v>0</v>
      </c>
      <c r="C50" s="27">
        <f t="shared" si="26"/>
        <v>0</v>
      </c>
      <c r="D50" s="27">
        <f t="shared" si="27"/>
        <v>0</v>
      </c>
      <c r="E50" s="27">
        <f t="shared" si="28"/>
        <v>0.05</v>
      </c>
      <c r="F50" s="27">
        <f t="shared" si="29"/>
        <v>0.05</v>
      </c>
      <c r="G50" s="27">
        <f t="shared" si="30"/>
        <v>0.1</v>
      </c>
      <c r="H50" s="27">
        <f t="shared" si="31"/>
        <v>0.1</v>
      </c>
      <c r="I50" s="27">
        <f t="shared" si="32"/>
        <v>0.15</v>
      </c>
      <c r="J50" s="27">
        <f t="shared" si="33"/>
        <v>0.15</v>
      </c>
      <c r="K50" s="27">
        <f t="shared" si="34"/>
        <v>0.2</v>
      </c>
      <c r="L50" s="27">
        <f t="shared" si="35"/>
        <v>0.2</v>
      </c>
      <c r="M50" s="27">
        <f t="shared" si="36"/>
        <v>0.2</v>
      </c>
      <c r="O50">
        <f>(1-B50)*E4b!B50</f>
        <v>3</v>
      </c>
      <c r="P50">
        <f>(1-C50)*E4b!C50</f>
        <v>4</v>
      </c>
      <c r="Q50">
        <f>(1-D50)*E4b!D50</f>
        <v>7</v>
      </c>
      <c r="R50">
        <f>(1-E50)*E4b!E50</f>
        <v>8.5499999999999989</v>
      </c>
      <c r="S50">
        <f>(1-F50)*E4b!F50</f>
        <v>11.020000000000001</v>
      </c>
      <c r="T50">
        <f>(1-G50)*E4b!G50</f>
        <v>18</v>
      </c>
      <c r="U50">
        <f>(1-H50)*E4b!H50</f>
        <v>45</v>
      </c>
      <c r="V50">
        <f>(1-I50)*E4b!I50</f>
        <v>85</v>
      </c>
      <c r="W50">
        <f>(1-J50)*E4b!J50</f>
        <v>170</v>
      </c>
      <c r="X50">
        <f>(1-K50)*E4b!K50</f>
        <v>400</v>
      </c>
      <c r="Y50">
        <f>(1-L50)*E4b!L50</f>
        <v>800</v>
      </c>
      <c r="Z50">
        <f>(1-M50)*E4b!M50</f>
        <v>4000</v>
      </c>
      <c r="AA50">
        <v>3</v>
      </c>
      <c r="AB50" s="3">
        <f>(E4b!C50-P50-(E4b!B50-O50))/(E4b!C50-E4b!B50)</f>
        <v>0</v>
      </c>
      <c r="AC50" s="3">
        <f>(E4b!D50-Q50-(E4b!C50-P50))/(E4b!D50-E4b!C50)</f>
        <v>0</v>
      </c>
      <c r="AD50" s="68">
        <f>(E4b!E50-R50-(E4b!D50-Q50))/(E4b!E50-E4b!D50)</f>
        <v>0.22500000000000053</v>
      </c>
      <c r="AE50" s="68">
        <f>(E4b!F50-S50-(E4b!E50-R50))/(E4b!F50-E4b!E50)</f>
        <v>4.9999999999999593E-2</v>
      </c>
      <c r="AF50" s="68">
        <f>(E4b!G50-T50-(E4b!F50-S50))/(E4b!G50-E4b!F50)</f>
        <v>0.16904761904761906</v>
      </c>
      <c r="AG50" s="68">
        <f>(E4b!H50-U50-(E4b!G50-T50))/(E4b!H50-E4b!G50)</f>
        <v>0.1</v>
      </c>
      <c r="AH50" s="68">
        <f>(E4b!I50-V50-(E4b!H50-U50))/(E4b!I50-E4b!H50)</f>
        <v>0.2</v>
      </c>
      <c r="AI50" s="68">
        <f>(E4b!J50-W50-(E4b!I50-V50))/(E4b!J50-E4b!I50)</f>
        <v>0.15</v>
      </c>
      <c r="AJ50" s="3">
        <f>(E4b!K50-X50-(E4b!J50-W50))/(E4b!K50-E4b!J50)</f>
        <v>0.23333333333333334</v>
      </c>
      <c r="AK50" s="3">
        <f>(E4b!L50-Y50-(E4b!K50-X50))/(E4b!L50-E4b!K50)</f>
        <v>0.2</v>
      </c>
      <c r="AL50" s="3">
        <f>(E4b!M50-Z50-(E4b!L50-Y50))/(E4b!M50-E4b!L50)</f>
        <v>0.2</v>
      </c>
      <c r="AM50" s="3">
        <f>(E4b!N50-AA50-(E4b!M50-Z50))/(E4b!N50-E4b!M50)</f>
        <v>0.2006</v>
      </c>
    </row>
    <row r="51" spans="1:39" ht="15.75" customHeight="1" x14ac:dyDescent="0.25">
      <c r="A51" s="21">
        <v>2073</v>
      </c>
      <c r="B51" s="27">
        <f t="shared" si="25"/>
        <v>0</v>
      </c>
      <c r="C51" s="27">
        <f t="shared" si="26"/>
        <v>0</v>
      </c>
      <c r="D51" s="27">
        <f t="shared" si="27"/>
        <v>0</v>
      </c>
      <c r="E51" s="27">
        <f t="shared" si="28"/>
        <v>0.05</v>
      </c>
      <c r="F51" s="27">
        <f t="shared" si="29"/>
        <v>0.05</v>
      </c>
      <c r="G51" s="27">
        <f t="shared" si="30"/>
        <v>0.1</v>
      </c>
      <c r="H51" s="27">
        <f t="shared" si="31"/>
        <v>0.1</v>
      </c>
      <c r="I51" s="27">
        <f t="shared" si="32"/>
        <v>0.15</v>
      </c>
      <c r="J51" s="27">
        <f t="shared" si="33"/>
        <v>0.15</v>
      </c>
      <c r="K51" s="27">
        <f t="shared" si="34"/>
        <v>0.2</v>
      </c>
      <c r="L51" s="27">
        <f t="shared" si="35"/>
        <v>0.2</v>
      </c>
      <c r="M51" s="27">
        <f t="shared" si="36"/>
        <v>0.2</v>
      </c>
      <c r="O51">
        <f>(1-B51)*E4b!B51</f>
        <v>3</v>
      </c>
      <c r="P51">
        <f>(1-C51)*E4b!C51</f>
        <v>4</v>
      </c>
      <c r="Q51">
        <f>(1-D51)*E4b!D51</f>
        <v>7</v>
      </c>
      <c r="R51">
        <f>(1-E51)*E4b!E51</f>
        <v>8.5499999999999989</v>
      </c>
      <c r="S51">
        <f>(1-F51)*E4b!F51</f>
        <v>10.830000000000002</v>
      </c>
      <c r="T51">
        <f>(1-G51)*E4b!G51</f>
        <v>18</v>
      </c>
      <c r="U51">
        <f>(1-H51)*E4b!H51</f>
        <v>45</v>
      </c>
      <c r="V51">
        <f>(1-I51)*E4b!I51</f>
        <v>85</v>
      </c>
      <c r="W51">
        <f>(1-J51)*E4b!J51</f>
        <v>170</v>
      </c>
      <c r="X51">
        <f>(1-K51)*E4b!K51</f>
        <v>400</v>
      </c>
      <c r="Y51">
        <f>(1-L51)*E4b!L51</f>
        <v>800</v>
      </c>
      <c r="Z51">
        <f>(1-M51)*E4b!M51</f>
        <v>4000</v>
      </c>
      <c r="AA51">
        <v>3</v>
      </c>
      <c r="AB51" s="3">
        <f>(E4b!C51-P51-(E4b!B51-O51))/(E4b!C51-E4b!B51)</f>
        <v>0</v>
      </c>
      <c r="AC51" s="3">
        <f>(E4b!D51-Q51-(E4b!C51-P51))/(E4b!D51-E4b!C51)</f>
        <v>0</v>
      </c>
      <c r="AD51" s="68">
        <f>(E4b!E51-R51-(E4b!D51-Q51))/(E4b!E51-E4b!D51)</f>
        <v>0.22500000000000053</v>
      </c>
      <c r="AE51" s="68">
        <f>(E4b!F51-S51-(E4b!E51-R51))/(E4b!F51-E4b!E51)</f>
        <v>4.9999999999999628E-2</v>
      </c>
      <c r="AF51" s="68">
        <f>(E4b!G51-T51-(E4b!F51-S51))/(E4b!G51-E4b!F51)</f>
        <v>0.16627906976744186</v>
      </c>
      <c r="AG51" s="68">
        <f>(E4b!H51-U51-(E4b!G51-T51))/(E4b!H51-E4b!G51)</f>
        <v>0.1</v>
      </c>
      <c r="AH51" s="68">
        <f>(E4b!I51-V51-(E4b!H51-U51))/(E4b!I51-E4b!H51)</f>
        <v>0.2</v>
      </c>
      <c r="AI51" s="68">
        <f>(E4b!J51-W51-(E4b!I51-V51))/(E4b!J51-E4b!I51)</f>
        <v>0.15</v>
      </c>
      <c r="AJ51" s="3">
        <f>(E4b!K51-X51-(E4b!J51-W51))/(E4b!K51-E4b!J51)</f>
        <v>0.23333333333333334</v>
      </c>
      <c r="AK51" s="3">
        <f>(E4b!L51-Y51-(E4b!K51-X51))/(E4b!L51-E4b!K51)</f>
        <v>0.2</v>
      </c>
      <c r="AL51" s="3">
        <f>(E4b!M51-Z51-(E4b!L51-Y51))/(E4b!M51-E4b!L51)</f>
        <v>0.2</v>
      </c>
      <c r="AM51" s="3">
        <f>(E4b!N51-AA51-(E4b!M51-Z51))/(E4b!N51-E4b!M51)</f>
        <v>0.2006</v>
      </c>
    </row>
    <row r="52" spans="1:39" ht="15.75" customHeight="1" x14ac:dyDescent="0.25">
      <c r="A52" s="21">
        <v>2074</v>
      </c>
      <c r="B52" s="27">
        <f t="shared" si="25"/>
        <v>0</v>
      </c>
      <c r="C52" s="27">
        <f t="shared" si="26"/>
        <v>0</v>
      </c>
      <c r="D52" s="27">
        <f t="shared" si="27"/>
        <v>0</v>
      </c>
      <c r="E52" s="27">
        <f t="shared" si="28"/>
        <v>0.05</v>
      </c>
      <c r="F52" s="27">
        <f t="shared" si="29"/>
        <v>0.05</v>
      </c>
      <c r="G52" s="27">
        <f t="shared" si="30"/>
        <v>0.1</v>
      </c>
      <c r="H52" s="27">
        <f t="shared" si="31"/>
        <v>0.1</v>
      </c>
      <c r="I52" s="27">
        <f t="shared" si="32"/>
        <v>0.15</v>
      </c>
      <c r="J52" s="27">
        <f t="shared" si="33"/>
        <v>0.15</v>
      </c>
      <c r="K52" s="27">
        <f t="shared" si="34"/>
        <v>0.2</v>
      </c>
      <c r="L52" s="27">
        <f t="shared" si="35"/>
        <v>0.2</v>
      </c>
      <c r="M52" s="27">
        <f t="shared" si="36"/>
        <v>0.2</v>
      </c>
      <c r="O52">
        <f>(1-B52)*E4b!B52</f>
        <v>3</v>
      </c>
      <c r="P52">
        <f>(1-C52)*E4b!C52</f>
        <v>4</v>
      </c>
      <c r="Q52">
        <f>(1-D52)*E4b!D52</f>
        <v>7</v>
      </c>
      <c r="R52">
        <f>(1-E52)*E4b!E52</f>
        <v>8.5499999999999989</v>
      </c>
      <c r="S52">
        <f>(1-F52)*E4b!F52</f>
        <v>10.640000000000002</v>
      </c>
      <c r="T52">
        <f>(1-G52)*E4b!G52</f>
        <v>18</v>
      </c>
      <c r="U52">
        <f>(1-H52)*E4b!H52</f>
        <v>45</v>
      </c>
      <c r="V52">
        <f>(1-I52)*E4b!I52</f>
        <v>85</v>
      </c>
      <c r="W52">
        <f>(1-J52)*E4b!J52</f>
        <v>170</v>
      </c>
      <c r="X52">
        <f>(1-K52)*E4b!K52</f>
        <v>400</v>
      </c>
      <c r="Y52">
        <f>(1-L52)*E4b!L52</f>
        <v>800</v>
      </c>
      <c r="Z52">
        <f>(1-M52)*E4b!M52</f>
        <v>4000</v>
      </c>
      <c r="AA52">
        <v>3</v>
      </c>
      <c r="AB52" s="3">
        <f>(E4b!C52-P52-(E4b!B52-O52))/(E4b!C52-E4b!B52)</f>
        <v>0</v>
      </c>
      <c r="AC52" s="3">
        <f>(E4b!D52-Q52-(E4b!C52-P52))/(E4b!D52-E4b!C52)</f>
        <v>0</v>
      </c>
      <c r="AD52" s="68">
        <f>(E4b!E52-R52-(E4b!D52-Q52))/(E4b!E52-E4b!D52)</f>
        <v>0.22500000000000053</v>
      </c>
      <c r="AE52" s="68">
        <f>(E4b!F52-S52-(E4b!E52-R52))/(E4b!F52-E4b!E52)</f>
        <v>4.9999999999999677E-2</v>
      </c>
      <c r="AF52" s="68">
        <f>(E4b!G52-T52-(E4b!F52-S52))/(E4b!G52-E4b!F52)</f>
        <v>0.16363636363636364</v>
      </c>
      <c r="AG52" s="68">
        <f>(E4b!H52-U52-(E4b!G52-T52))/(E4b!H52-E4b!G52)</f>
        <v>0.1</v>
      </c>
      <c r="AH52" s="68">
        <f>(E4b!I52-V52-(E4b!H52-U52))/(E4b!I52-E4b!H52)</f>
        <v>0.2</v>
      </c>
      <c r="AI52" s="68">
        <f>(E4b!J52-W52-(E4b!I52-V52))/(E4b!J52-E4b!I52)</f>
        <v>0.15</v>
      </c>
      <c r="AJ52" s="3">
        <f>(E4b!K52-X52-(E4b!J52-W52))/(E4b!K52-E4b!J52)</f>
        <v>0.23333333333333334</v>
      </c>
      <c r="AK52" s="3">
        <f>(E4b!L52-Y52-(E4b!K52-X52))/(E4b!L52-E4b!K52)</f>
        <v>0.2</v>
      </c>
      <c r="AL52" s="3">
        <f>(E4b!M52-Z52-(E4b!L52-Y52))/(E4b!M52-E4b!L52)</f>
        <v>0.2</v>
      </c>
      <c r="AM52" s="3">
        <f>(E4b!N52-AA52-(E4b!M52-Z52))/(E4b!N52-E4b!M52)</f>
        <v>0.2006</v>
      </c>
    </row>
    <row r="53" spans="1:39" ht="15.75" customHeight="1" x14ac:dyDescent="0.25">
      <c r="A53" s="21">
        <v>2075</v>
      </c>
      <c r="B53" s="27">
        <f t="shared" si="25"/>
        <v>0</v>
      </c>
      <c r="C53" s="27">
        <f t="shared" si="26"/>
        <v>0</v>
      </c>
      <c r="D53" s="27">
        <f t="shared" si="27"/>
        <v>0</v>
      </c>
      <c r="E53" s="27">
        <f t="shared" si="28"/>
        <v>0.05</v>
      </c>
      <c r="F53" s="27">
        <f t="shared" si="29"/>
        <v>0.05</v>
      </c>
      <c r="G53" s="27">
        <f t="shared" si="30"/>
        <v>0.1</v>
      </c>
      <c r="H53" s="27">
        <f t="shared" si="31"/>
        <v>0.1</v>
      </c>
      <c r="I53" s="27">
        <f t="shared" si="32"/>
        <v>0.15</v>
      </c>
      <c r="J53" s="27">
        <f t="shared" si="33"/>
        <v>0.15</v>
      </c>
      <c r="K53" s="27">
        <f t="shared" si="34"/>
        <v>0.2</v>
      </c>
      <c r="L53" s="27">
        <f t="shared" si="35"/>
        <v>0.2</v>
      </c>
      <c r="M53" s="27">
        <f t="shared" si="36"/>
        <v>0.2</v>
      </c>
      <c r="O53">
        <f>(1-B53)*E4b!B53</f>
        <v>3</v>
      </c>
      <c r="P53">
        <f>(1-C53)*E4b!C53</f>
        <v>4</v>
      </c>
      <c r="Q53">
        <f>(1-D53)*E4b!D53</f>
        <v>7</v>
      </c>
      <c r="R53">
        <f>(1-E53)*E4b!E53</f>
        <v>8.5499999999999989</v>
      </c>
      <c r="S53">
        <f>(1-F53)*E4b!F53</f>
        <v>10.450000000000003</v>
      </c>
      <c r="T53">
        <f>(1-G53)*E4b!G53</f>
        <v>18</v>
      </c>
      <c r="U53">
        <f>(1-H53)*E4b!H53</f>
        <v>45</v>
      </c>
      <c r="V53">
        <f>(1-I53)*E4b!I53</f>
        <v>85</v>
      </c>
      <c r="W53">
        <f>(1-J53)*E4b!J53</f>
        <v>170</v>
      </c>
      <c r="X53">
        <f>(1-K53)*E4b!K53</f>
        <v>400</v>
      </c>
      <c r="Y53">
        <f>(1-L53)*E4b!L53</f>
        <v>800</v>
      </c>
      <c r="Z53">
        <f>(1-M53)*E4b!M53</f>
        <v>4000</v>
      </c>
      <c r="AA53">
        <v>3</v>
      </c>
      <c r="AB53" s="3">
        <f>(E4b!C53-P53-(E4b!B53-O53))/(E4b!C53-E4b!B53)</f>
        <v>0</v>
      </c>
      <c r="AC53" s="3">
        <f>(E4b!D53-Q53-(E4b!C53-P53))/(E4b!D53-E4b!C53)</f>
        <v>0</v>
      </c>
      <c r="AD53" s="68">
        <f>(E4b!E53-R53-(E4b!D53-Q53))/(E4b!E53-E4b!D53)</f>
        <v>0.22500000000000053</v>
      </c>
      <c r="AE53" s="68">
        <f>(E4b!F53-S53-(E4b!E53-R53))/(E4b!F53-E4b!E53)</f>
        <v>4.9999999999999732E-2</v>
      </c>
      <c r="AF53" s="68">
        <f>(E4b!G53-T53-(E4b!F53-S53))/(E4b!G53-E4b!F53)</f>
        <v>0.16111111111111109</v>
      </c>
      <c r="AG53" s="68">
        <f>(E4b!H53-U53-(E4b!G53-T53))/(E4b!H53-E4b!G53)</f>
        <v>0.1</v>
      </c>
      <c r="AH53" s="68">
        <f>(E4b!I53-V53-(E4b!H53-U53))/(E4b!I53-E4b!H53)</f>
        <v>0.2</v>
      </c>
      <c r="AI53" s="68">
        <f>(E4b!J53-W53-(E4b!I53-V53))/(E4b!J53-E4b!I53)</f>
        <v>0.15</v>
      </c>
      <c r="AJ53" s="3">
        <f>(E4b!K53-X53-(E4b!J53-W53))/(E4b!K53-E4b!J53)</f>
        <v>0.23333333333333334</v>
      </c>
      <c r="AK53" s="3">
        <f>(E4b!L53-Y53-(E4b!K53-X53))/(E4b!L53-E4b!K53)</f>
        <v>0.2</v>
      </c>
      <c r="AL53" s="3">
        <f>(E4b!M53-Z53-(E4b!L53-Y53))/(E4b!M53-E4b!L53)</f>
        <v>0.2</v>
      </c>
      <c r="AM53" s="3">
        <f>(E4b!N53-AA53-(E4b!M53-Z53))/(E4b!N53-E4b!M53)</f>
        <v>0.2006</v>
      </c>
    </row>
    <row r="54" spans="1:39" ht="15.75" customHeight="1" x14ac:dyDescent="0.25">
      <c r="A54" s="21">
        <v>2076</v>
      </c>
      <c r="B54" s="27">
        <f t="shared" si="25"/>
        <v>0</v>
      </c>
      <c r="C54" s="27">
        <f t="shared" si="26"/>
        <v>0</v>
      </c>
      <c r="D54" s="27">
        <f t="shared" si="27"/>
        <v>0</v>
      </c>
      <c r="E54" s="27">
        <f t="shared" si="28"/>
        <v>0.05</v>
      </c>
      <c r="F54" s="27">
        <f t="shared" si="29"/>
        <v>0.05</v>
      </c>
      <c r="G54" s="27">
        <f t="shared" si="30"/>
        <v>0.1</v>
      </c>
      <c r="H54" s="27">
        <f t="shared" si="31"/>
        <v>0.1</v>
      </c>
      <c r="I54" s="27">
        <f t="shared" si="32"/>
        <v>0.15</v>
      </c>
      <c r="J54" s="27">
        <f t="shared" si="33"/>
        <v>0.15</v>
      </c>
      <c r="K54" s="27">
        <f t="shared" si="34"/>
        <v>0.2</v>
      </c>
      <c r="L54" s="27">
        <f t="shared" si="35"/>
        <v>0.2</v>
      </c>
      <c r="M54" s="27">
        <f t="shared" si="36"/>
        <v>0.2</v>
      </c>
      <c r="O54">
        <f>(1-B54)*E4b!B54</f>
        <v>3</v>
      </c>
      <c r="P54">
        <f>(1-C54)*E4b!C54</f>
        <v>4</v>
      </c>
      <c r="Q54">
        <f>(1-D54)*E4b!D54</f>
        <v>7</v>
      </c>
      <c r="R54">
        <f>(1-E54)*E4b!E54</f>
        <v>8.5499999999999989</v>
      </c>
      <c r="S54">
        <f>(1-F54)*E4b!F54</f>
        <v>10.260000000000003</v>
      </c>
      <c r="T54">
        <f>(1-G54)*E4b!G54</f>
        <v>18</v>
      </c>
      <c r="U54">
        <f>(1-H54)*E4b!H54</f>
        <v>45</v>
      </c>
      <c r="V54">
        <f>(1-I54)*E4b!I54</f>
        <v>85</v>
      </c>
      <c r="W54">
        <f>(1-J54)*E4b!J54</f>
        <v>170</v>
      </c>
      <c r="X54">
        <f>(1-K54)*E4b!K54</f>
        <v>400</v>
      </c>
      <c r="Y54">
        <f>(1-L54)*E4b!L54</f>
        <v>800</v>
      </c>
      <c r="Z54">
        <f>(1-M54)*E4b!M54</f>
        <v>4000</v>
      </c>
      <c r="AA54">
        <v>3</v>
      </c>
      <c r="AB54" s="3">
        <f>(E4b!C54-P54-(E4b!B54-O54))/(E4b!C54-E4b!B54)</f>
        <v>0</v>
      </c>
      <c r="AC54" s="3">
        <f>(E4b!D54-Q54-(E4b!C54-P54))/(E4b!D54-E4b!C54)</f>
        <v>0</v>
      </c>
      <c r="AD54" s="68">
        <f>(E4b!E54-R54-(E4b!D54-Q54))/(E4b!E54-E4b!D54)</f>
        <v>0.22500000000000053</v>
      </c>
      <c r="AE54" s="68">
        <f>(E4b!F54-S54-(E4b!E54-R54))/(E4b!F54-E4b!E54)</f>
        <v>4.9999999999999802E-2</v>
      </c>
      <c r="AF54" s="68">
        <f>(E4b!G54-T54-(E4b!F54-S54))/(E4b!G54-E4b!F54)</f>
        <v>0.15869565217391302</v>
      </c>
      <c r="AG54" s="68">
        <f>(E4b!H54-U54-(E4b!G54-T54))/(E4b!H54-E4b!G54)</f>
        <v>0.1</v>
      </c>
      <c r="AH54" s="68">
        <f>(E4b!I54-V54-(E4b!H54-U54))/(E4b!I54-E4b!H54)</f>
        <v>0.2</v>
      </c>
      <c r="AI54" s="68">
        <f>(E4b!J54-W54-(E4b!I54-V54))/(E4b!J54-E4b!I54)</f>
        <v>0.15</v>
      </c>
      <c r="AJ54" s="3">
        <f>(E4b!K54-X54-(E4b!J54-W54))/(E4b!K54-E4b!J54)</f>
        <v>0.23333333333333334</v>
      </c>
      <c r="AK54" s="3">
        <f>(E4b!L54-Y54-(E4b!K54-X54))/(E4b!L54-E4b!K54)</f>
        <v>0.2</v>
      </c>
      <c r="AL54" s="3">
        <f>(E4b!M54-Z54-(E4b!L54-Y54))/(E4b!M54-E4b!L54)</f>
        <v>0.2</v>
      </c>
      <c r="AM54" s="3">
        <f>(E4b!N54-AA54-(E4b!M54-Z54))/(E4b!N54-E4b!M54)</f>
        <v>0.2006</v>
      </c>
    </row>
    <row r="55" spans="1:39" ht="15.75" customHeight="1" x14ac:dyDescent="0.25">
      <c r="A55" s="21">
        <v>2077</v>
      </c>
      <c r="B55" s="27">
        <f t="shared" si="25"/>
        <v>0</v>
      </c>
      <c r="C55" s="27">
        <f t="shared" si="26"/>
        <v>0</v>
      </c>
      <c r="D55" s="27">
        <f t="shared" si="27"/>
        <v>0</v>
      </c>
      <c r="E55" s="27">
        <f t="shared" si="28"/>
        <v>0.05</v>
      </c>
      <c r="F55" s="27">
        <f t="shared" si="29"/>
        <v>0.05</v>
      </c>
      <c r="G55" s="27">
        <f t="shared" si="30"/>
        <v>0.1</v>
      </c>
      <c r="H55" s="27">
        <f t="shared" si="31"/>
        <v>0.1</v>
      </c>
      <c r="I55" s="27">
        <f t="shared" si="32"/>
        <v>0.15</v>
      </c>
      <c r="J55" s="27">
        <f t="shared" si="33"/>
        <v>0.15</v>
      </c>
      <c r="K55" s="27">
        <f t="shared" si="34"/>
        <v>0.2</v>
      </c>
      <c r="L55" s="27">
        <f t="shared" si="35"/>
        <v>0.2</v>
      </c>
      <c r="M55" s="27">
        <f t="shared" si="36"/>
        <v>0.2</v>
      </c>
      <c r="O55">
        <f>(1-B55)*E4b!B55</f>
        <v>3</v>
      </c>
      <c r="P55">
        <f>(1-C55)*E4b!C55</f>
        <v>4</v>
      </c>
      <c r="Q55">
        <f>(1-D55)*E4b!D55</f>
        <v>7</v>
      </c>
      <c r="R55">
        <f>(1-E55)*E4b!E55</f>
        <v>8.5499999999999989</v>
      </c>
      <c r="S55">
        <f>(1-F55)*E4b!F55</f>
        <v>10.070000000000004</v>
      </c>
      <c r="T55">
        <f>(1-G55)*E4b!G55</f>
        <v>18</v>
      </c>
      <c r="U55">
        <f>(1-H55)*E4b!H55</f>
        <v>45</v>
      </c>
      <c r="V55">
        <f>(1-I55)*E4b!I55</f>
        <v>85</v>
      </c>
      <c r="W55">
        <f>(1-J55)*E4b!J55</f>
        <v>170</v>
      </c>
      <c r="X55">
        <f>(1-K55)*E4b!K55</f>
        <v>400</v>
      </c>
      <c r="Y55">
        <f>(1-L55)*E4b!L55</f>
        <v>800</v>
      </c>
      <c r="Z55">
        <f>(1-M55)*E4b!M55</f>
        <v>4000</v>
      </c>
      <c r="AA55">
        <v>3</v>
      </c>
      <c r="AB55" s="3">
        <f>(E4b!C55-P55-(E4b!B55-O55))/(E4b!C55-E4b!B55)</f>
        <v>0</v>
      </c>
      <c r="AC55" s="3">
        <f>(E4b!D55-Q55-(E4b!C55-P55))/(E4b!D55-E4b!C55)</f>
        <v>0</v>
      </c>
      <c r="AD55" s="68">
        <f>(E4b!E55-R55-(E4b!D55-Q55))/(E4b!E55-E4b!D55)</f>
        <v>0.22500000000000053</v>
      </c>
      <c r="AE55" s="68">
        <f>(E4b!F55-S55-(E4b!E55-R55))/(E4b!F55-E4b!E55)</f>
        <v>4.9999999999999892E-2</v>
      </c>
      <c r="AF55" s="68">
        <f>(E4b!G55-T55-(E4b!F55-S55))/(E4b!G55-E4b!F55)</f>
        <v>0.1563829787234042</v>
      </c>
      <c r="AG55" s="68">
        <f>(E4b!H55-U55-(E4b!G55-T55))/(E4b!H55-E4b!G55)</f>
        <v>0.1</v>
      </c>
      <c r="AH55" s="68">
        <f>(E4b!I55-V55-(E4b!H55-U55))/(E4b!I55-E4b!H55)</f>
        <v>0.2</v>
      </c>
      <c r="AI55" s="68">
        <f>(E4b!J55-W55-(E4b!I55-V55))/(E4b!J55-E4b!I55)</f>
        <v>0.15</v>
      </c>
      <c r="AJ55" s="3">
        <f>(E4b!K55-X55-(E4b!J55-W55))/(E4b!K55-E4b!J55)</f>
        <v>0.23333333333333334</v>
      </c>
      <c r="AK55" s="3">
        <f>(E4b!L55-Y55-(E4b!K55-X55))/(E4b!L55-E4b!K55)</f>
        <v>0.2</v>
      </c>
      <c r="AL55" s="3">
        <f>(E4b!M55-Z55-(E4b!L55-Y55))/(E4b!M55-E4b!L55)</f>
        <v>0.2</v>
      </c>
      <c r="AM55" s="3">
        <f>(E4b!N55-AA55-(E4b!M55-Z55))/(E4b!N55-E4b!M55)</f>
        <v>0.2006</v>
      </c>
    </row>
    <row r="56" spans="1:39" ht="15.75" customHeight="1" x14ac:dyDescent="0.25">
      <c r="A56" s="21">
        <v>2078</v>
      </c>
      <c r="B56" s="27">
        <f t="shared" si="25"/>
        <v>0</v>
      </c>
      <c r="C56" s="27">
        <f t="shared" si="26"/>
        <v>0</v>
      </c>
      <c r="D56" s="27">
        <f t="shared" si="27"/>
        <v>0</v>
      </c>
      <c r="E56" s="27">
        <f t="shared" si="28"/>
        <v>0.05</v>
      </c>
      <c r="F56" s="27">
        <f t="shared" si="29"/>
        <v>0.05</v>
      </c>
      <c r="G56" s="27">
        <f t="shared" si="30"/>
        <v>0.1</v>
      </c>
      <c r="H56" s="27">
        <f t="shared" si="31"/>
        <v>0.1</v>
      </c>
      <c r="I56" s="27">
        <f t="shared" si="32"/>
        <v>0.15</v>
      </c>
      <c r="J56" s="27">
        <f t="shared" si="33"/>
        <v>0.15</v>
      </c>
      <c r="K56" s="27">
        <f t="shared" si="34"/>
        <v>0.2</v>
      </c>
      <c r="L56" s="27">
        <f t="shared" si="35"/>
        <v>0.2</v>
      </c>
      <c r="M56" s="27">
        <f t="shared" si="36"/>
        <v>0.2</v>
      </c>
      <c r="O56">
        <f>(1-B56)*E4b!B56</f>
        <v>3</v>
      </c>
      <c r="P56">
        <f>(1-C56)*E4b!C56</f>
        <v>4</v>
      </c>
      <c r="Q56">
        <f>(1-D56)*E4b!D56</f>
        <v>7</v>
      </c>
      <c r="R56">
        <f>(1-E56)*E4b!E56</f>
        <v>8.5499999999999989</v>
      </c>
      <c r="S56">
        <f>(1-F56)*E4b!F56</f>
        <v>9.8800000000000043</v>
      </c>
      <c r="T56">
        <f>(1-G56)*E4b!G56</f>
        <v>18</v>
      </c>
      <c r="U56">
        <f>(1-H56)*E4b!H56</f>
        <v>45</v>
      </c>
      <c r="V56">
        <f>(1-I56)*E4b!I56</f>
        <v>85</v>
      </c>
      <c r="W56">
        <f>(1-J56)*E4b!J56</f>
        <v>170</v>
      </c>
      <c r="X56">
        <f>(1-K56)*E4b!K56</f>
        <v>400</v>
      </c>
      <c r="Y56">
        <f>(1-L56)*E4b!L56</f>
        <v>800</v>
      </c>
      <c r="Z56">
        <f>(1-M56)*E4b!M56</f>
        <v>4000</v>
      </c>
      <c r="AA56">
        <v>3</v>
      </c>
      <c r="AB56" s="3">
        <f>(E4b!C56-P56-(E4b!B56-O56))/(E4b!C56-E4b!B56)</f>
        <v>0</v>
      </c>
      <c r="AC56" s="3">
        <f>(E4b!D56-Q56-(E4b!C56-P56))/(E4b!D56-E4b!C56)</f>
        <v>0</v>
      </c>
      <c r="AD56" s="68">
        <f>(E4b!E56-R56-(E4b!D56-Q56))/(E4b!E56-E4b!D56)</f>
        <v>0.22500000000000053</v>
      </c>
      <c r="AE56" s="68">
        <f>(E4b!F56-S56-(E4b!E56-R56))/(E4b!F56-E4b!E56)</f>
        <v>0.05</v>
      </c>
      <c r="AF56" s="68">
        <f>(E4b!G56-T56-(E4b!F56-S56))/(E4b!G56-E4b!F56)</f>
        <v>0.15416666666666662</v>
      </c>
      <c r="AG56" s="68">
        <f>(E4b!H56-U56-(E4b!G56-T56))/(E4b!H56-E4b!G56)</f>
        <v>0.1</v>
      </c>
      <c r="AH56" s="68">
        <f>(E4b!I56-V56-(E4b!H56-U56))/(E4b!I56-E4b!H56)</f>
        <v>0.2</v>
      </c>
      <c r="AI56" s="68">
        <f>(E4b!J56-W56-(E4b!I56-V56))/(E4b!J56-E4b!I56)</f>
        <v>0.15</v>
      </c>
      <c r="AJ56" s="3">
        <f>(E4b!K56-X56-(E4b!J56-W56))/(E4b!K56-E4b!J56)</f>
        <v>0.23333333333333334</v>
      </c>
      <c r="AK56" s="3">
        <f>(E4b!L56-Y56-(E4b!K56-X56))/(E4b!L56-E4b!K56)</f>
        <v>0.2</v>
      </c>
      <c r="AL56" s="3">
        <f>(E4b!M56-Z56-(E4b!L56-Y56))/(E4b!M56-E4b!L56)</f>
        <v>0.2</v>
      </c>
      <c r="AM56" s="3">
        <f>(E4b!N56-AA56-(E4b!M56-Z56))/(E4b!N56-E4b!M56)</f>
        <v>0.2006</v>
      </c>
    </row>
    <row r="57" spans="1:39" ht="15.75" customHeight="1" x14ac:dyDescent="0.25">
      <c r="A57" s="21">
        <v>2079</v>
      </c>
      <c r="B57" s="27">
        <f t="shared" si="25"/>
        <v>0</v>
      </c>
      <c r="C57" s="27">
        <f t="shared" si="26"/>
        <v>0</v>
      </c>
      <c r="D57" s="27">
        <f t="shared" si="27"/>
        <v>0</v>
      </c>
      <c r="E57" s="27">
        <f t="shared" si="28"/>
        <v>0.05</v>
      </c>
      <c r="F57" s="27">
        <f t="shared" si="29"/>
        <v>0.05</v>
      </c>
      <c r="G57" s="27">
        <f t="shared" si="30"/>
        <v>0.1</v>
      </c>
      <c r="H57" s="27">
        <f t="shared" si="31"/>
        <v>0.1</v>
      </c>
      <c r="I57" s="27">
        <f t="shared" si="32"/>
        <v>0.15</v>
      </c>
      <c r="J57" s="27">
        <f t="shared" si="33"/>
        <v>0.15</v>
      </c>
      <c r="K57" s="27">
        <f t="shared" si="34"/>
        <v>0.2</v>
      </c>
      <c r="L57" s="27">
        <f t="shared" si="35"/>
        <v>0.2</v>
      </c>
      <c r="M57" s="27">
        <f t="shared" si="36"/>
        <v>0.2</v>
      </c>
      <c r="O57">
        <f>(1-B57)*E4b!B57</f>
        <v>3</v>
      </c>
      <c r="P57">
        <f>(1-C57)*E4b!C57</f>
        <v>4</v>
      </c>
      <c r="Q57">
        <f>(1-D57)*E4b!D57</f>
        <v>7</v>
      </c>
      <c r="R57">
        <f>(1-E57)*E4b!E57</f>
        <v>8.5499999999999989</v>
      </c>
      <c r="S57">
        <f>(1-F57)*E4b!F57</f>
        <v>9.6900000000000048</v>
      </c>
      <c r="T57">
        <f>(1-G57)*E4b!G57</f>
        <v>18</v>
      </c>
      <c r="U57">
        <f>(1-H57)*E4b!H57</f>
        <v>45</v>
      </c>
      <c r="V57">
        <f>(1-I57)*E4b!I57</f>
        <v>85</v>
      </c>
      <c r="W57">
        <f>(1-J57)*E4b!J57</f>
        <v>170</v>
      </c>
      <c r="X57">
        <f>(1-K57)*E4b!K57</f>
        <v>400</v>
      </c>
      <c r="Y57">
        <f>(1-L57)*E4b!L57</f>
        <v>800</v>
      </c>
      <c r="Z57">
        <f>(1-M57)*E4b!M57</f>
        <v>4000</v>
      </c>
      <c r="AA57">
        <v>3</v>
      </c>
      <c r="AB57" s="3">
        <f>(E4b!C57-P57-(E4b!B57-O57))/(E4b!C57-E4b!B57)</f>
        <v>0</v>
      </c>
      <c r="AC57" s="3">
        <f>(E4b!D57-Q57-(E4b!C57-P57))/(E4b!D57-E4b!C57)</f>
        <v>0</v>
      </c>
      <c r="AD57" s="68">
        <f>(E4b!E57-R57-(E4b!D57-Q57))/(E4b!E57-E4b!D57)</f>
        <v>0.22500000000000053</v>
      </c>
      <c r="AE57" s="68">
        <f>(E4b!F57-S57-(E4b!E57-R57))/(E4b!F57-E4b!E57)</f>
        <v>5.0000000000000148E-2</v>
      </c>
      <c r="AF57" s="68">
        <f>(E4b!G57-T57-(E4b!F57-S57))/(E4b!G57-E4b!F57)</f>
        <v>0.15204081632653055</v>
      </c>
      <c r="AG57" s="68">
        <f>(E4b!H57-U57-(E4b!G57-T57))/(E4b!H57-E4b!G57)</f>
        <v>0.1</v>
      </c>
      <c r="AH57" s="68">
        <f>(E4b!I57-V57-(E4b!H57-U57))/(E4b!I57-E4b!H57)</f>
        <v>0.2</v>
      </c>
      <c r="AI57" s="68">
        <f>(E4b!J57-W57-(E4b!I57-V57))/(E4b!J57-E4b!I57)</f>
        <v>0.15</v>
      </c>
      <c r="AJ57" s="3">
        <f>(E4b!K57-X57-(E4b!J57-W57))/(E4b!K57-E4b!J57)</f>
        <v>0.23333333333333334</v>
      </c>
      <c r="AK57" s="3">
        <f>(E4b!L57-Y57-(E4b!K57-X57))/(E4b!L57-E4b!K57)</f>
        <v>0.2</v>
      </c>
      <c r="AL57" s="3">
        <f>(E4b!M57-Z57-(E4b!L57-Y57))/(E4b!M57-E4b!L57)</f>
        <v>0.2</v>
      </c>
      <c r="AM57" s="3">
        <f>(E4b!N57-AA57-(E4b!M57-Z57))/(E4b!N57-E4b!M57)</f>
        <v>0.2006</v>
      </c>
    </row>
    <row r="58" spans="1:39" ht="15.75" customHeight="1" x14ac:dyDescent="0.25">
      <c r="A58" s="21">
        <v>2080</v>
      </c>
      <c r="B58" s="28">
        <v>0</v>
      </c>
      <c r="C58" s="28">
        <v>0</v>
      </c>
      <c r="D58" s="28">
        <v>0</v>
      </c>
      <c r="E58" s="28">
        <v>0.05</v>
      </c>
      <c r="F58" s="28">
        <v>0.05</v>
      </c>
      <c r="G58" s="28">
        <v>0.1</v>
      </c>
      <c r="H58" s="28">
        <v>0.1</v>
      </c>
      <c r="I58" s="28">
        <v>0.15</v>
      </c>
      <c r="J58" s="28">
        <v>0.15</v>
      </c>
      <c r="K58" s="28">
        <v>0.2</v>
      </c>
      <c r="L58" s="28">
        <v>0.2</v>
      </c>
      <c r="M58" s="28">
        <v>0.2</v>
      </c>
      <c r="O58">
        <f>(1-B58)*E4b!B58</f>
        <v>3</v>
      </c>
      <c r="P58">
        <f>(1-C58)*E4b!C58</f>
        <v>4</v>
      </c>
      <c r="Q58">
        <f>(1-D58)*E4b!D58</f>
        <v>7</v>
      </c>
      <c r="R58">
        <f>(1-E58)*E4b!E58</f>
        <v>8.5499999999999989</v>
      </c>
      <c r="S58">
        <f>(1-F58)*E4b!F58</f>
        <v>9.5</v>
      </c>
      <c r="T58">
        <f>(1-G58)*E4b!G58</f>
        <v>18</v>
      </c>
      <c r="U58">
        <f>(1-H58)*E4b!H58</f>
        <v>45</v>
      </c>
      <c r="V58">
        <f>(1-I58)*E4b!I58</f>
        <v>85</v>
      </c>
      <c r="W58">
        <f>(1-J58)*E4b!J58</f>
        <v>170</v>
      </c>
      <c r="X58">
        <f>(1-K58)*E4b!K58</f>
        <v>400</v>
      </c>
      <c r="Y58">
        <f>(1-L58)*E4b!L58</f>
        <v>800</v>
      </c>
      <c r="Z58">
        <f>(1-M58)*E4b!M58</f>
        <v>4000</v>
      </c>
      <c r="AA58">
        <v>3</v>
      </c>
      <c r="AB58" s="3">
        <f>(E4b!C58-P58-(E4b!B58-O58))/(E4b!C58-E4b!B58)</f>
        <v>0</v>
      </c>
      <c r="AC58" s="3">
        <f>(E4b!D58-Q58-(E4b!C58-P58))/(E4b!D58-E4b!C58)</f>
        <v>0</v>
      </c>
      <c r="AD58" s="68">
        <f>(E4b!E58-R58-(E4b!D58-Q58))/(E4b!E58-E4b!D58)</f>
        <v>0.22500000000000053</v>
      </c>
      <c r="AE58" s="68">
        <f>(E4b!F58-S58-(E4b!E58-R58))/(E4b!F58-E4b!E58)</f>
        <v>4.9999999999998934E-2</v>
      </c>
      <c r="AF58" s="68">
        <f>(E4b!G58-T58-(E4b!F58-S58))/(E4b!G58-E4b!F58)</f>
        <v>0.15</v>
      </c>
      <c r="AG58" s="68">
        <f>(E4b!H58-U58-(E4b!G58-T58))/(E4b!H58-E4b!G58)</f>
        <v>0.1</v>
      </c>
      <c r="AH58" s="68">
        <f>(E4b!I58-V58-(E4b!H58-U58))/(E4b!I58-E4b!H58)</f>
        <v>0.2</v>
      </c>
      <c r="AI58" s="68">
        <f>(E4b!J58-W58-(E4b!I58-V58))/(E4b!J58-E4b!I58)</f>
        <v>0.15</v>
      </c>
      <c r="AJ58" s="3">
        <f>(E4b!K58-X58-(E4b!J58-W58))/(E4b!K58-E4b!J58)</f>
        <v>0.23333333333333334</v>
      </c>
      <c r="AK58" s="3">
        <f>(E4b!L58-Y58-(E4b!K58-X58))/(E4b!L58-E4b!K58)</f>
        <v>0.2</v>
      </c>
      <c r="AL58" s="3">
        <f>(E4b!M58-Z58-(E4b!L58-Y58))/(E4b!M58-E4b!L58)</f>
        <v>0.2</v>
      </c>
      <c r="AM58" s="3">
        <f>(E4b!N58-AA58-(E4b!M58-Z58))/(E4b!N58-E4b!M58)</f>
        <v>0.2006</v>
      </c>
    </row>
    <row r="59" spans="1:39" ht="15.75" customHeight="1" x14ac:dyDescent="0.25">
      <c r="A59" s="21">
        <v>2081</v>
      </c>
      <c r="B59" s="27">
        <f t="shared" ref="B59:B77" si="37">B58+(B$78-B$58)/20</f>
        <v>0</v>
      </c>
      <c r="C59" s="27">
        <f t="shared" ref="C59:C77" si="38">C58+(C$78-C$58)/20</f>
        <v>0</v>
      </c>
      <c r="D59" s="27">
        <f t="shared" ref="D59:D77" si="39">D58+(D$78-D$58)/20</f>
        <v>0</v>
      </c>
      <c r="E59" s="27">
        <f t="shared" ref="E59:E77" si="40">E58+(E$78-E$58)/20</f>
        <v>0.05</v>
      </c>
      <c r="F59" s="27">
        <f t="shared" ref="F59:F77" si="41">F58+(F$78-F$58)/20</f>
        <v>0.05</v>
      </c>
      <c r="G59" s="27">
        <f t="shared" ref="G59:G77" si="42">G58+(G$78-G$58)/20</f>
        <v>0.1</v>
      </c>
      <c r="H59" s="27">
        <f t="shared" ref="H59:H77" si="43">H58+(H$78-H$58)/20</f>
        <v>0.1</v>
      </c>
      <c r="I59" s="27">
        <f t="shared" ref="I59:I77" si="44">I58+(I$78-I$58)/20</f>
        <v>0.15</v>
      </c>
      <c r="J59" s="27">
        <f t="shared" ref="J59:J77" si="45">J58+(J$78-J$58)/20</f>
        <v>0.15</v>
      </c>
      <c r="K59" s="27">
        <f t="shared" ref="K59:K77" si="46">K58+(K$78-K$58)/20</f>
        <v>0.2</v>
      </c>
      <c r="L59" s="27">
        <f t="shared" ref="L59:L77" si="47">L58+(L$78-L$58)/20</f>
        <v>0.2</v>
      </c>
      <c r="M59" s="27">
        <f t="shared" ref="M59:M77" si="48">M58+(M$78-M$58)/20</f>
        <v>0.2</v>
      </c>
      <c r="O59">
        <f>(1-B59)*E4b!B59</f>
        <v>3</v>
      </c>
      <c r="P59">
        <f>(1-C59)*E4b!C59</f>
        <v>4</v>
      </c>
      <c r="Q59">
        <f>(1-D59)*E4b!D59</f>
        <v>6.95</v>
      </c>
      <c r="R59">
        <f>(1-E59)*E4b!E59</f>
        <v>8.5024999999999995</v>
      </c>
      <c r="S59">
        <f>(1-F59)*E4b!F59</f>
        <v>9.5</v>
      </c>
      <c r="T59">
        <f>(1-G59)*E4b!G59</f>
        <v>18</v>
      </c>
      <c r="U59">
        <f>(1-H59)*E4b!H59</f>
        <v>45</v>
      </c>
      <c r="V59">
        <f>(1-I59)*E4b!I59</f>
        <v>85</v>
      </c>
      <c r="W59">
        <f>(1-J59)*E4b!J59</f>
        <v>170</v>
      </c>
      <c r="X59">
        <f>(1-K59)*E4b!K59</f>
        <v>400</v>
      </c>
      <c r="Y59">
        <f>(1-L59)*E4b!L59</f>
        <v>800</v>
      </c>
      <c r="Z59">
        <f>(1-M59)*E4b!M59</f>
        <v>4000</v>
      </c>
      <c r="AA59">
        <v>3</v>
      </c>
      <c r="AB59" s="3">
        <f>(E4b!C59-P59-(E4b!B59-O59))/(E4b!C59-E4b!B59)</f>
        <v>0</v>
      </c>
      <c r="AC59" s="3">
        <f>(E4b!D59-Q59-(E4b!C59-P59))/(E4b!D59-E4b!C59)</f>
        <v>0</v>
      </c>
      <c r="AD59" s="68">
        <f>(E4b!E59-R59-(E4b!D59-Q59))/(E4b!E59-E4b!D59)</f>
        <v>0.22375</v>
      </c>
      <c r="AE59" s="68">
        <f>(E4b!F59-S59-(E4b!E59-R59))/(E4b!F59-E4b!E59)</f>
        <v>5.0000000000000169E-2</v>
      </c>
      <c r="AF59" s="68">
        <f>(E4b!G59-T59-(E4b!F59-S59))/(E4b!G59-E4b!F59)</f>
        <v>0.15</v>
      </c>
      <c r="AG59" s="68">
        <f>(E4b!H59-U59-(E4b!G59-T59))/(E4b!H59-E4b!G59)</f>
        <v>0.1</v>
      </c>
      <c r="AH59" s="68">
        <f>(E4b!I59-V59-(E4b!H59-U59))/(E4b!I59-E4b!H59)</f>
        <v>0.2</v>
      </c>
      <c r="AI59" s="68">
        <f>(E4b!J59-W59-(E4b!I59-V59))/(E4b!J59-E4b!I59)</f>
        <v>0.15</v>
      </c>
      <c r="AJ59" s="3">
        <f>(E4b!K59-X59-(E4b!J59-W59))/(E4b!K59-E4b!J59)</f>
        <v>0.23333333333333334</v>
      </c>
      <c r="AK59" s="3">
        <f>(E4b!L59-Y59-(E4b!K59-X59))/(E4b!L59-E4b!K59)</f>
        <v>0.2</v>
      </c>
      <c r="AL59" s="3">
        <f>(E4b!M59-Z59-(E4b!L59-Y59))/(E4b!M59-E4b!L59)</f>
        <v>0.2</v>
      </c>
      <c r="AM59" s="3">
        <f>(E4b!N59-AA59-(E4b!M59-Z59))/(E4b!N59-E4b!M59)</f>
        <v>0.2006</v>
      </c>
    </row>
    <row r="60" spans="1:39" ht="15.75" customHeight="1" x14ac:dyDescent="0.25">
      <c r="A60" s="21">
        <v>2082</v>
      </c>
      <c r="B60" s="27">
        <f t="shared" si="37"/>
        <v>0</v>
      </c>
      <c r="C60" s="27">
        <f t="shared" si="38"/>
        <v>0</v>
      </c>
      <c r="D60" s="27">
        <f t="shared" si="39"/>
        <v>0</v>
      </c>
      <c r="E60" s="27">
        <f t="shared" si="40"/>
        <v>0.05</v>
      </c>
      <c r="F60" s="27">
        <f t="shared" si="41"/>
        <v>0.05</v>
      </c>
      <c r="G60" s="27">
        <f t="shared" si="42"/>
        <v>0.1</v>
      </c>
      <c r="H60" s="27">
        <f t="shared" si="43"/>
        <v>0.1</v>
      </c>
      <c r="I60" s="27">
        <f t="shared" si="44"/>
        <v>0.15</v>
      </c>
      <c r="J60" s="27">
        <f t="shared" si="45"/>
        <v>0.15</v>
      </c>
      <c r="K60" s="27">
        <f t="shared" si="46"/>
        <v>0.2</v>
      </c>
      <c r="L60" s="27">
        <f t="shared" si="47"/>
        <v>0.2</v>
      </c>
      <c r="M60" s="27">
        <f t="shared" si="48"/>
        <v>0.2</v>
      </c>
      <c r="O60">
        <f>(1-B60)*E4b!B60</f>
        <v>3</v>
      </c>
      <c r="P60">
        <f>(1-C60)*E4b!C60</f>
        <v>4</v>
      </c>
      <c r="Q60">
        <f>(1-D60)*E4b!D60</f>
        <v>6.9</v>
      </c>
      <c r="R60">
        <f>(1-E60)*E4b!E60</f>
        <v>8.4549999999999983</v>
      </c>
      <c r="S60">
        <f>(1-F60)*E4b!F60</f>
        <v>9.5</v>
      </c>
      <c r="T60">
        <f>(1-G60)*E4b!G60</f>
        <v>18</v>
      </c>
      <c r="U60">
        <f>(1-H60)*E4b!H60</f>
        <v>45</v>
      </c>
      <c r="V60">
        <f>(1-I60)*E4b!I60</f>
        <v>85</v>
      </c>
      <c r="W60">
        <f>(1-J60)*E4b!J60</f>
        <v>170</v>
      </c>
      <c r="X60">
        <f>(1-K60)*E4b!K60</f>
        <v>400</v>
      </c>
      <c r="Y60">
        <f>(1-L60)*E4b!L60</f>
        <v>800</v>
      </c>
      <c r="Z60">
        <f>(1-M60)*E4b!M60</f>
        <v>4000</v>
      </c>
      <c r="AA60">
        <v>3</v>
      </c>
      <c r="AB60" s="3">
        <f>(E4b!C60-P60-(E4b!B60-O60))/(E4b!C60-E4b!B60)</f>
        <v>0</v>
      </c>
      <c r="AC60" s="3">
        <f>(E4b!D60-Q60-(E4b!C60-P60))/(E4b!D60-E4b!C60)</f>
        <v>0</v>
      </c>
      <c r="AD60" s="68">
        <f>(E4b!E60-R60-(E4b!D60-Q60))/(E4b!E60-E4b!D60)</f>
        <v>0.22250000000000034</v>
      </c>
      <c r="AE60" s="68">
        <f>(E4b!F60-S60-(E4b!E60-R60))/(E4b!F60-E4b!E60)</f>
        <v>4.9999999999999677E-2</v>
      </c>
      <c r="AF60" s="68">
        <f>(E4b!G60-T60-(E4b!F60-S60))/(E4b!G60-E4b!F60)</f>
        <v>0.15</v>
      </c>
      <c r="AG60" s="68">
        <f>(E4b!H60-U60-(E4b!G60-T60))/(E4b!H60-E4b!G60)</f>
        <v>0.1</v>
      </c>
      <c r="AH60" s="68">
        <f>(E4b!I60-V60-(E4b!H60-U60))/(E4b!I60-E4b!H60)</f>
        <v>0.2</v>
      </c>
      <c r="AI60" s="68">
        <f>(E4b!J60-W60-(E4b!I60-V60))/(E4b!J60-E4b!I60)</f>
        <v>0.15</v>
      </c>
      <c r="AJ60" s="3">
        <f>(E4b!K60-X60-(E4b!J60-W60))/(E4b!K60-E4b!J60)</f>
        <v>0.23333333333333334</v>
      </c>
      <c r="AK60" s="3">
        <f>(E4b!L60-Y60-(E4b!K60-X60))/(E4b!L60-E4b!K60)</f>
        <v>0.2</v>
      </c>
      <c r="AL60" s="3">
        <f>(E4b!M60-Z60-(E4b!L60-Y60))/(E4b!M60-E4b!L60)</f>
        <v>0.2</v>
      </c>
      <c r="AM60" s="3">
        <f>(E4b!N60-AA60-(E4b!M60-Z60))/(E4b!N60-E4b!M60)</f>
        <v>0.2006</v>
      </c>
    </row>
    <row r="61" spans="1:39" ht="15.75" customHeight="1" x14ac:dyDescent="0.25">
      <c r="A61" s="21">
        <v>2083</v>
      </c>
      <c r="B61" s="27">
        <f t="shared" si="37"/>
        <v>0</v>
      </c>
      <c r="C61" s="27">
        <f t="shared" si="38"/>
        <v>0</v>
      </c>
      <c r="D61" s="27">
        <f t="shared" si="39"/>
        <v>0</v>
      </c>
      <c r="E61" s="27">
        <f t="shared" si="40"/>
        <v>0.05</v>
      </c>
      <c r="F61" s="27">
        <f t="shared" si="41"/>
        <v>0.05</v>
      </c>
      <c r="G61" s="27">
        <f t="shared" si="42"/>
        <v>0.1</v>
      </c>
      <c r="H61" s="27">
        <f t="shared" si="43"/>
        <v>0.1</v>
      </c>
      <c r="I61" s="27">
        <f t="shared" si="44"/>
        <v>0.15</v>
      </c>
      <c r="J61" s="27">
        <f t="shared" si="45"/>
        <v>0.15</v>
      </c>
      <c r="K61" s="27">
        <f t="shared" si="46"/>
        <v>0.2</v>
      </c>
      <c r="L61" s="27">
        <f t="shared" si="47"/>
        <v>0.2</v>
      </c>
      <c r="M61" s="27">
        <f t="shared" si="48"/>
        <v>0.2</v>
      </c>
      <c r="O61">
        <f>(1-B61)*E4b!B61</f>
        <v>3</v>
      </c>
      <c r="P61">
        <f>(1-C61)*E4b!C61</f>
        <v>4</v>
      </c>
      <c r="Q61">
        <f>(1-D61)*E4b!D61</f>
        <v>6.8500000000000005</v>
      </c>
      <c r="R61">
        <f>(1-E61)*E4b!E61</f>
        <v>8.4074999999999971</v>
      </c>
      <c r="S61">
        <f>(1-F61)*E4b!F61</f>
        <v>9.5</v>
      </c>
      <c r="T61">
        <f>(1-G61)*E4b!G61</f>
        <v>18</v>
      </c>
      <c r="U61">
        <f>(1-H61)*E4b!H61</f>
        <v>45</v>
      </c>
      <c r="V61">
        <f>(1-I61)*E4b!I61</f>
        <v>85</v>
      </c>
      <c r="W61">
        <f>(1-J61)*E4b!J61</f>
        <v>170</v>
      </c>
      <c r="X61">
        <f>(1-K61)*E4b!K61</f>
        <v>400</v>
      </c>
      <c r="Y61">
        <f>(1-L61)*E4b!L61</f>
        <v>800</v>
      </c>
      <c r="Z61">
        <f>(1-M61)*E4b!M61</f>
        <v>4000</v>
      </c>
      <c r="AA61">
        <v>3</v>
      </c>
      <c r="AB61" s="3">
        <f>(E4b!C61-P61-(E4b!B61-O61))/(E4b!C61-E4b!B61)</f>
        <v>0</v>
      </c>
      <c r="AC61" s="3">
        <f>(E4b!D61-Q61-(E4b!C61-P61))/(E4b!D61-E4b!C61)</f>
        <v>0</v>
      </c>
      <c r="AD61" s="68">
        <f>(E4b!E61-R61-(E4b!D61-Q61))/(E4b!E61-E4b!D61)</f>
        <v>0.2212500000000007</v>
      </c>
      <c r="AE61" s="68">
        <f>(E4b!F61-S61-(E4b!E61-R61))/(E4b!F61-E4b!E61)</f>
        <v>4.9999999999999226E-2</v>
      </c>
      <c r="AF61" s="68">
        <f>(E4b!G61-T61-(E4b!F61-S61))/(E4b!G61-E4b!F61)</f>
        <v>0.15</v>
      </c>
      <c r="AG61" s="68">
        <f>(E4b!H61-U61-(E4b!G61-T61))/(E4b!H61-E4b!G61)</f>
        <v>0.1</v>
      </c>
      <c r="AH61" s="68">
        <f>(E4b!I61-V61-(E4b!H61-U61))/(E4b!I61-E4b!H61)</f>
        <v>0.2</v>
      </c>
      <c r="AI61" s="68">
        <f>(E4b!J61-W61-(E4b!I61-V61))/(E4b!J61-E4b!I61)</f>
        <v>0.15</v>
      </c>
      <c r="AJ61" s="3">
        <f>(E4b!K61-X61-(E4b!J61-W61))/(E4b!K61-E4b!J61)</f>
        <v>0.23333333333333334</v>
      </c>
      <c r="AK61" s="3">
        <f>(E4b!L61-Y61-(E4b!K61-X61))/(E4b!L61-E4b!K61)</f>
        <v>0.2</v>
      </c>
      <c r="AL61" s="3">
        <f>(E4b!M61-Z61-(E4b!L61-Y61))/(E4b!M61-E4b!L61)</f>
        <v>0.2</v>
      </c>
      <c r="AM61" s="3">
        <f>(E4b!N61-AA61-(E4b!M61-Z61))/(E4b!N61-E4b!M61)</f>
        <v>0.2006</v>
      </c>
    </row>
    <row r="62" spans="1:39" ht="15.75" customHeight="1" x14ac:dyDescent="0.25">
      <c r="A62" s="21">
        <v>2084</v>
      </c>
      <c r="B62" s="27">
        <f t="shared" si="37"/>
        <v>0</v>
      </c>
      <c r="C62" s="27">
        <f t="shared" si="38"/>
        <v>0</v>
      </c>
      <c r="D62" s="27">
        <f t="shared" si="39"/>
        <v>0</v>
      </c>
      <c r="E62" s="27">
        <f t="shared" si="40"/>
        <v>0.05</v>
      </c>
      <c r="F62" s="27">
        <f t="shared" si="41"/>
        <v>0.05</v>
      </c>
      <c r="G62" s="27">
        <f t="shared" si="42"/>
        <v>0.1</v>
      </c>
      <c r="H62" s="27">
        <f t="shared" si="43"/>
        <v>0.1</v>
      </c>
      <c r="I62" s="27">
        <f t="shared" si="44"/>
        <v>0.15</v>
      </c>
      <c r="J62" s="27">
        <f t="shared" si="45"/>
        <v>0.15</v>
      </c>
      <c r="K62" s="27">
        <f t="shared" si="46"/>
        <v>0.2</v>
      </c>
      <c r="L62" s="27">
        <f t="shared" si="47"/>
        <v>0.2</v>
      </c>
      <c r="M62" s="27">
        <f t="shared" si="48"/>
        <v>0.2</v>
      </c>
      <c r="O62">
        <f>(1-B62)*E4b!B62</f>
        <v>3</v>
      </c>
      <c r="P62">
        <f>(1-C62)*E4b!C62</f>
        <v>4</v>
      </c>
      <c r="Q62">
        <f>(1-D62)*E4b!D62</f>
        <v>6.8000000000000007</v>
      </c>
      <c r="R62">
        <f>(1-E62)*E4b!E62</f>
        <v>8.3599999999999977</v>
      </c>
      <c r="S62">
        <f>(1-F62)*E4b!F62</f>
        <v>9.5</v>
      </c>
      <c r="T62">
        <f>(1-G62)*E4b!G62</f>
        <v>18</v>
      </c>
      <c r="U62">
        <f>(1-H62)*E4b!H62</f>
        <v>45</v>
      </c>
      <c r="V62">
        <f>(1-I62)*E4b!I62</f>
        <v>85</v>
      </c>
      <c r="W62">
        <f>(1-J62)*E4b!J62</f>
        <v>170</v>
      </c>
      <c r="X62">
        <f>(1-K62)*E4b!K62</f>
        <v>400</v>
      </c>
      <c r="Y62">
        <f>(1-L62)*E4b!L62</f>
        <v>800</v>
      </c>
      <c r="Z62">
        <f>(1-M62)*E4b!M62</f>
        <v>4000</v>
      </c>
      <c r="AA62">
        <v>3</v>
      </c>
      <c r="AB62" s="3">
        <f>(E4b!C62-P62-(E4b!B62-O62))/(E4b!C62-E4b!B62)</f>
        <v>0</v>
      </c>
      <c r="AC62" s="3">
        <f>(E4b!D62-Q62-(E4b!C62-P62))/(E4b!D62-E4b!C62)</f>
        <v>0</v>
      </c>
      <c r="AD62" s="68">
        <f>(E4b!E62-R62-(E4b!D62-Q62))/(E4b!E62-E4b!D62)</f>
        <v>0.22000000000000014</v>
      </c>
      <c r="AE62" s="68">
        <f>(E4b!F62-S62-(E4b!E62-R62))/(E4b!F62-E4b!E62)</f>
        <v>5.0000000000000294E-2</v>
      </c>
      <c r="AF62" s="68">
        <f>(E4b!G62-T62-(E4b!F62-S62))/(E4b!G62-E4b!F62)</f>
        <v>0.15</v>
      </c>
      <c r="AG62" s="68">
        <f>(E4b!H62-U62-(E4b!G62-T62))/(E4b!H62-E4b!G62)</f>
        <v>0.1</v>
      </c>
      <c r="AH62" s="68">
        <f>(E4b!I62-V62-(E4b!H62-U62))/(E4b!I62-E4b!H62)</f>
        <v>0.2</v>
      </c>
      <c r="AI62" s="68">
        <f>(E4b!J62-W62-(E4b!I62-V62))/(E4b!J62-E4b!I62)</f>
        <v>0.15</v>
      </c>
      <c r="AJ62" s="3">
        <f>(E4b!K62-X62-(E4b!J62-W62))/(E4b!K62-E4b!J62)</f>
        <v>0.23333333333333334</v>
      </c>
      <c r="AK62" s="3">
        <f>(E4b!L62-Y62-(E4b!K62-X62))/(E4b!L62-E4b!K62)</f>
        <v>0.2</v>
      </c>
      <c r="AL62" s="3">
        <f>(E4b!M62-Z62-(E4b!L62-Y62))/(E4b!M62-E4b!L62)</f>
        <v>0.2</v>
      </c>
      <c r="AM62" s="3">
        <f>(E4b!N62-AA62-(E4b!M62-Z62))/(E4b!N62-E4b!M62)</f>
        <v>0.2006</v>
      </c>
    </row>
    <row r="63" spans="1:39" ht="15.75" customHeight="1" x14ac:dyDescent="0.25">
      <c r="A63" s="21">
        <v>2085</v>
      </c>
      <c r="B63" s="27">
        <f t="shared" si="37"/>
        <v>0</v>
      </c>
      <c r="C63" s="27">
        <f t="shared" si="38"/>
        <v>0</v>
      </c>
      <c r="D63" s="27">
        <f t="shared" si="39"/>
        <v>0</v>
      </c>
      <c r="E63" s="27">
        <f t="shared" si="40"/>
        <v>0.05</v>
      </c>
      <c r="F63" s="27">
        <f t="shared" si="41"/>
        <v>0.05</v>
      </c>
      <c r="G63" s="27">
        <f t="shared" si="42"/>
        <v>0.1</v>
      </c>
      <c r="H63" s="27">
        <f t="shared" si="43"/>
        <v>0.1</v>
      </c>
      <c r="I63" s="27">
        <f t="shared" si="44"/>
        <v>0.15</v>
      </c>
      <c r="J63" s="27">
        <f t="shared" si="45"/>
        <v>0.15</v>
      </c>
      <c r="K63" s="27">
        <f t="shared" si="46"/>
        <v>0.2</v>
      </c>
      <c r="L63" s="27">
        <f t="shared" si="47"/>
        <v>0.2</v>
      </c>
      <c r="M63" s="27">
        <f t="shared" si="48"/>
        <v>0.2</v>
      </c>
      <c r="O63">
        <f>(1-B63)*E4b!B63</f>
        <v>3</v>
      </c>
      <c r="P63">
        <f>(1-C63)*E4b!C63</f>
        <v>4</v>
      </c>
      <c r="Q63">
        <f>(1-D63)*E4b!D63</f>
        <v>6.7500000000000009</v>
      </c>
      <c r="R63">
        <f>(1-E63)*E4b!E63</f>
        <v>8.3124999999999964</v>
      </c>
      <c r="S63">
        <f>(1-F63)*E4b!F63</f>
        <v>9.5</v>
      </c>
      <c r="T63">
        <f>(1-G63)*E4b!G63</f>
        <v>18</v>
      </c>
      <c r="U63">
        <f>(1-H63)*E4b!H63</f>
        <v>45</v>
      </c>
      <c r="V63">
        <f>(1-I63)*E4b!I63</f>
        <v>85</v>
      </c>
      <c r="W63">
        <f>(1-J63)*E4b!J63</f>
        <v>170</v>
      </c>
      <c r="X63">
        <f>(1-K63)*E4b!K63</f>
        <v>400</v>
      </c>
      <c r="Y63">
        <f>(1-L63)*E4b!L63</f>
        <v>800</v>
      </c>
      <c r="Z63">
        <f>(1-M63)*E4b!M63</f>
        <v>4000</v>
      </c>
      <c r="AA63">
        <v>3</v>
      </c>
      <c r="AB63" s="3">
        <f>(E4b!C63-P63-(E4b!B63-O63))/(E4b!C63-E4b!B63)</f>
        <v>0</v>
      </c>
      <c r="AC63" s="3">
        <f>(E4b!D63-Q63-(E4b!C63-P63))/(E4b!D63-E4b!C63)</f>
        <v>0</v>
      </c>
      <c r="AD63" s="68">
        <f>(E4b!E63-R63-(E4b!D63-Q63))/(E4b!E63-E4b!D63)</f>
        <v>0.2187500000000005</v>
      </c>
      <c r="AE63" s="68">
        <f>(E4b!F63-S63-(E4b!E63-R63))/(E4b!F63-E4b!E63)</f>
        <v>4.9999999999999857E-2</v>
      </c>
      <c r="AF63" s="68">
        <f>(E4b!G63-T63-(E4b!F63-S63))/(E4b!G63-E4b!F63)</f>
        <v>0.15</v>
      </c>
      <c r="AG63" s="68">
        <f>(E4b!H63-U63-(E4b!G63-T63))/(E4b!H63-E4b!G63)</f>
        <v>0.1</v>
      </c>
      <c r="AH63" s="68">
        <f>(E4b!I63-V63-(E4b!H63-U63))/(E4b!I63-E4b!H63)</f>
        <v>0.2</v>
      </c>
      <c r="AI63" s="68">
        <f>(E4b!J63-W63-(E4b!I63-V63))/(E4b!J63-E4b!I63)</f>
        <v>0.15</v>
      </c>
      <c r="AJ63" s="3">
        <f>(E4b!K63-X63-(E4b!J63-W63))/(E4b!K63-E4b!J63)</f>
        <v>0.23333333333333334</v>
      </c>
      <c r="AK63" s="3">
        <f>(E4b!L63-Y63-(E4b!K63-X63))/(E4b!L63-E4b!K63)</f>
        <v>0.2</v>
      </c>
      <c r="AL63" s="3">
        <f>(E4b!M63-Z63-(E4b!L63-Y63))/(E4b!M63-E4b!L63)</f>
        <v>0.2</v>
      </c>
      <c r="AM63" s="3">
        <f>(E4b!N63-AA63-(E4b!M63-Z63))/(E4b!N63-E4b!M63)</f>
        <v>0.2006</v>
      </c>
    </row>
    <row r="64" spans="1:39" ht="15.75" customHeight="1" x14ac:dyDescent="0.25">
      <c r="A64" s="21">
        <v>2086</v>
      </c>
      <c r="B64" s="27">
        <f t="shared" si="37"/>
        <v>0</v>
      </c>
      <c r="C64" s="27">
        <f t="shared" si="38"/>
        <v>0</v>
      </c>
      <c r="D64" s="27">
        <f t="shared" si="39"/>
        <v>0</v>
      </c>
      <c r="E64" s="27">
        <f t="shared" si="40"/>
        <v>0.05</v>
      </c>
      <c r="F64" s="27">
        <f t="shared" si="41"/>
        <v>0.05</v>
      </c>
      <c r="G64" s="27">
        <f t="shared" si="42"/>
        <v>0.1</v>
      </c>
      <c r="H64" s="27">
        <f t="shared" si="43"/>
        <v>0.1</v>
      </c>
      <c r="I64" s="27">
        <f t="shared" si="44"/>
        <v>0.15</v>
      </c>
      <c r="J64" s="27">
        <f t="shared" si="45"/>
        <v>0.15</v>
      </c>
      <c r="K64" s="27">
        <f t="shared" si="46"/>
        <v>0.2</v>
      </c>
      <c r="L64" s="27">
        <f t="shared" si="47"/>
        <v>0.2</v>
      </c>
      <c r="M64" s="27">
        <f t="shared" si="48"/>
        <v>0.2</v>
      </c>
      <c r="O64">
        <f>(1-B64)*E4b!B64</f>
        <v>3</v>
      </c>
      <c r="P64">
        <f>(1-C64)*E4b!C64</f>
        <v>4</v>
      </c>
      <c r="Q64">
        <f>(1-D64)*E4b!D64</f>
        <v>6.7000000000000011</v>
      </c>
      <c r="R64">
        <f>(1-E64)*E4b!E64</f>
        <v>8.2649999999999952</v>
      </c>
      <c r="S64">
        <f>(1-F64)*E4b!F64</f>
        <v>9.5</v>
      </c>
      <c r="T64">
        <f>(1-G64)*E4b!G64</f>
        <v>18</v>
      </c>
      <c r="U64">
        <f>(1-H64)*E4b!H64</f>
        <v>45</v>
      </c>
      <c r="V64">
        <f>(1-I64)*E4b!I64</f>
        <v>85</v>
      </c>
      <c r="W64">
        <f>(1-J64)*E4b!J64</f>
        <v>170</v>
      </c>
      <c r="X64">
        <f>(1-K64)*E4b!K64</f>
        <v>400</v>
      </c>
      <c r="Y64">
        <f>(1-L64)*E4b!L64</f>
        <v>800</v>
      </c>
      <c r="Z64">
        <f>(1-M64)*E4b!M64</f>
        <v>4000</v>
      </c>
      <c r="AA64">
        <v>3</v>
      </c>
      <c r="AB64" s="3">
        <f>(E4b!C64-P64-(E4b!B64-O64))/(E4b!C64-E4b!B64)</f>
        <v>0</v>
      </c>
      <c r="AC64" s="3">
        <f>(E4b!D64-Q64-(E4b!C64-P64))/(E4b!D64-E4b!C64)</f>
        <v>0</v>
      </c>
      <c r="AD64" s="68">
        <f>(E4b!E64-R64-(E4b!D64-Q64))/(E4b!E64-E4b!D64)</f>
        <v>0.21750000000000083</v>
      </c>
      <c r="AE64" s="68">
        <f>(E4b!F64-S64-(E4b!E64-R64))/(E4b!F64-E4b!E64)</f>
        <v>4.9999999999999455E-2</v>
      </c>
      <c r="AF64" s="68">
        <f>(E4b!G64-T64-(E4b!F64-S64))/(E4b!G64-E4b!F64)</f>
        <v>0.15</v>
      </c>
      <c r="AG64" s="68">
        <f>(E4b!H64-U64-(E4b!G64-T64))/(E4b!H64-E4b!G64)</f>
        <v>0.1</v>
      </c>
      <c r="AH64" s="68">
        <f>(E4b!I64-V64-(E4b!H64-U64))/(E4b!I64-E4b!H64)</f>
        <v>0.2</v>
      </c>
      <c r="AI64" s="68">
        <f>(E4b!J64-W64-(E4b!I64-V64))/(E4b!J64-E4b!I64)</f>
        <v>0.15</v>
      </c>
      <c r="AJ64" s="3">
        <f>(E4b!K64-X64-(E4b!J64-W64))/(E4b!K64-E4b!J64)</f>
        <v>0.23333333333333334</v>
      </c>
      <c r="AK64" s="3">
        <f>(E4b!L64-Y64-(E4b!K64-X64))/(E4b!L64-E4b!K64)</f>
        <v>0.2</v>
      </c>
      <c r="AL64" s="3">
        <f>(E4b!M64-Z64-(E4b!L64-Y64))/(E4b!M64-E4b!L64)</f>
        <v>0.2</v>
      </c>
      <c r="AM64" s="3">
        <f>(E4b!N64-AA64-(E4b!M64-Z64))/(E4b!N64-E4b!M64)</f>
        <v>0.2006</v>
      </c>
    </row>
    <row r="65" spans="1:39" ht="15.75" customHeight="1" x14ac:dyDescent="0.25">
      <c r="A65" s="21">
        <v>2087</v>
      </c>
      <c r="B65" s="27">
        <f t="shared" si="37"/>
        <v>0</v>
      </c>
      <c r="C65" s="27">
        <f t="shared" si="38"/>
        <v>0</v>
      </c>
      <c r="D65" s="27">
        <f t="shared" si="39"/>
        <v>0</v>
      </c>
      <c r="E65" s="27">
        <f t="shared" si="40"/>
        <v>0.05</v>
      </c>
      <c r="F65" s="27">
        <f t="shared" si="41"/>
        <v>0.05</v>
      </c>
      <c r="G65" s="27">
        <f t="shared" si="42"/>
        <v>0.1</v>
      </c>
      <c r="H65" s="27">
        <f t="shared" si="43"/>
        <v>0.1</v>
      </c>
      <c r="I65" s="27">
        <f t="shared" si="44"/>
        <v>0.15</v>
      </c>
      <c r="J65" s="27">
        <f t="shared" si="45"/>
        <v>0.15</v>
      </c>
      <c r="K65" s="27">
        <f t="shared" si="46"/>
        <v>0.2</v>
      </c>
      <c r="L65" s="27">
        <f t="shared" si="47"/>
        <v>0.2</v>
      </c>
      <c r="M65" s="27">
        <f t="shared" si="48"/>
        <v>0.2</v>
      </c>
      <c r="O65">
        <f>(1-B65)*E4b!B65</f>
        <v>3</v>
      </c>
      <c r="P65">
        <f>(1-C65)*E4b!C65</f>
        <v>4</v>
      </c>
      <c r="Q65">
        <f>(1-D65)*E4b!D65</f>
        <v>6.6500000000000012</v>
      </c>
      <c r="R65">
        <f>(1-E65)*E4b!E65</f>
        <v>8.217499999999994</v>
      </c>
      <c r="S65">
        <f>(1-F65)*E4b!F65</f>
        <v>9.5</v>
      </c>
      <c r="T65">
        <f>(1-G65)*E4b!G65</f>
        <v>18</v>
      </c>
      <c r="U65">
        <f>(1-H65)*E4b!H65</f>
        <v>45</v>
      </c>
      <c r="V65">
        <f>(1-I65)*E4b!I65</f>
        <v>85</v>
      </c>
      <c r="W65">
        <f>(1-J65)*E4b!J65</f>
        <v>170</v>
      </c>
      <c r="X65">
        <f>(1-K65)*E4b!K65</f>
        <v>400</v>
      </c>
      <c r="Y65">
        <f>(1-L65)*E4b!L65</f>
        <v>800</v>
      </c>
      <c r="Z65">
        <f>(1-M65)*E4b!M65</f>
        <v>4000</v>
      </c>
      <c r="AA65">
        <v>3</v>
      </c>
      <c r="AB65" s="3">
        <f>(E4b!C65-P65-(E4b!B65-O65))/(E4b!C65-E4b!B65)</f>
        <v>0</v>
      </c>
      <c r="AC65" s="3">
        <f>(E4b!D65-Q65-(E4b!C65-P65))/(E4b!D65-E4b!C65)</f>
        <v>0</v>
      </c>
      <c r="AD65" s="68">
        <f>(E4b!E65-R65-(E4b!D65-Q65))/(E4b!E65-E4b!D65)</f>
        <v>0.21625000000000116</v>
      </c>
      <c r="AE65" s="68">
        <f>(E4b!F65-S65-(E4b!E65-R65))/(E4b!F65-E4b!E65)</f>
        <v>4.999999999999908E-2</v>
      </c>
      <c r="AF65" s="68">
        <f>(E4b!G65-T65-(E4b!F65-S65))/(E4b!G65-E4b!F65)</f>
        <v>0.15</v>
      </c>
      <c r="AG65" s="68">
        <f>(E4b!H65-U65-(E4b!G65-T65))/(E4b!H65-E4b!G65)</f>
        <v>0.1</v>
      </c>
      <c r="AH65" s="68">
        <f>(E4b!I65-V65-(E4b!H65-U65))/(E4b!I65-E4b!H65)</f>
        <v>0.2</v>
      </c>
      <c r="AI65" s="68">
        <f>(E4b!J65-W65-(E4b!I65-V65))/(E4b!J65-E4b!I65)</f>
        <v>0.15</v>
      </c>
      <c r="AJ65" s="3">
        <f>(E4b!K65-X65-(E4b!J65-W65))/(E4b!K65-E4b!J65)</f>
        <v>0.23333333333333334</v>
      </c>
      <c r="AK65" s="3">
        <f>(E4b!L65-Y65-(E4b!K65-X65))/(E4b!L65-E4b!K65)</f>
        <v>0.2</v>
      </c>
      <c r="AL65" s="3">
        <f>(E4b!M65-Z65-(E4b!L65-Y65))/(E4b!M65-E4b!L65)</f>
        <v>0.2</v>
      </c>
      <c r="AM65" s="3">
        <f>(E4b!N65-AA65-(E4b!M65-Z65))/(E4b!N65-E4b!M65)</f>
        <v>0.2006</v>
      </c>
    </row>
    <row r="66" spans="1:39" ht="15.75" customHeight="1" x14ac:dyDescent="0.25">
      <c r="A66" s="21">
        <v>2088</v>
      </c>
      <c r="B66" s="27">
        <f t="shared" si="37"/>
        <v>0</v>
      </c>
      <c r="C66" s="27">
        <f t="shared" si="38"/>
        <v>0</v>
      </c>
      <c r="D66" s="27">
        <f t="shared" si="39"/>
        <v>0</v>
      </c>
      <c r="E66" s="27">
        <f t="shared" si="40"/>
        <v>0.05</v>
      </c>
      <c r="F66" s="27">
        <f t="shared" si="41"/>
        <v>0.05</v>
      </c>
      <c r="G66" s="27">
        <f t="shared" si="42"/>
        <v>0.1</v>
      </c>
      <c r="H66" s="27">
        <f t="shared" si="43"/>
        <v>0.1</v>
      </c>
      <c r="I66" s="27">
        <f t="shared" si="44"/>
        <v>0.15</v>
      </c>
      <c r="J66" s="27">
        <f t="shared" si="45"/>
        <v>0.15</v>
      </c>
      <c r="K66" s="27">
        <f t="shared" si="46"/>
        <v>0.2</v>
      </c>
      <c r="L66" s="27">
        <f t="shared" si="47"/>
        <v>0.2</v>
      </c>
      <c r="M66" s="27">
        <f t="shared" si="48"/>
        <v>0.2</v>
      </c>
      <c r="O66">
        <f>(1-B66)*E4b!B66</f>
        <v>3</v>
      </c>
      <c r="P66">
        <f>(1-C66)*E4b!C66</f>
        <v>4</v>
      </c>
      <c r="Q66">
        <f>(1-D66)*E4b!D66</f>
        <v>6.6000000000000014</v>
      </c>
      <c r="R66">
        <f>(1-E66)*E4b!E66</f>
        <v>8.1699999999999946</v>
      </c>
      <c r="S66">
        <f>(1-F66)*E4b!F66</f>
        <v>9.5</v>
      </c>
      <c r="T66">
        <f>(1-G66)*E4b!G66</f>
        <v>18</v>
      </c>
      <c r="U66">
        <f>(1-H66)*E4b!H66</f>
        <v>45</v>
      </c>
      <c r="V66">
        <f>(1-I66)*E4b!I66</f>
        <v>85</v>
      </c>
      <c r="W66">
        <f>(1-J66)*E4b!J66</f>
        <v>170</v>
      </c>
      <c r="X66">
        <f>(1-K66)*E4b!K66</f>
        <v>400</v>
      </c>
      <c r="Y66">
        <f>(1-L66)*E4b!L66</f>
        <v>800</v>
      </c>
      <c r="Z66">
        <f>(1-M66)*E4b!M66</f>
        <v>4000</v>
      </c>
      <c r="AA66">
        <v>3</v>
      </c>
      <c r="AB66" s="3">
        <f>(E4b!C66-P66-(E4b!B66-O66))/(E4b!C66-E4b!B66)</f>
        <v>0</v>
      </c>
      <c r="AC66" s="3">
        <f>(E4b!D66-Q66-(E4b!C66-P66))/(E4b!D66-E4b!C66)</f>
        <v>0</v>
      </c>
      <c r="AD66" s="68">
        <f>(E4b!E66-R66-(E4b!D66-Q66))/(E4b!E66-E4b!D66)</f>
        <v>0.21500000000000064</v>
      </c>
      <c r="AE66" s="68">
        <f>(E4b!F66-S66-(E4b!E66-R66))/(E4b!F66-E4b!E66)</f>
        <v>0.05</v>
      </c>
      <c r="AF66" s="68">
        <f>(E4b!G66-T66-(E4b!F66-S66))/(E4b!G66-E4b!F66)</f>
        <v>0.15</v>
      </c>
      <c r="AG66" s="68">
        <f>(E4b!H66-U66-(E4b!G66-T66))/(E4b!H66-E4b!G66)</f>
        <v>0.1</v>
      </c>
      <c r="AH66" s="68">
        <f>(E4b!I66-V66-(E4b!H66-U66))/(E4b!I66-E4b!H66)</f>
        <v>0.2</v>
      </c>
      <c r="AI66" s="68">
        <f>(E4b!J66-W66-(E4b!I66-V66))/(E4b!J66-E4b!I66)</f>
        <v>0.15</v>
      </c>
      <c r="AJ66" s="3">
        <f>(E4b!K66-X66-(E4b!J66-W66))/(E4b!K66-E4b!J66)</f>
        <v>0.23333333333333334</v>
      </c>
      <c r="AK66" s="3">
        <f>(E4b!L66-Y66-(E4b!K66-X66))/(E4b!L66-E4b!K66)</f>
        <v>0.2</v>
      </c>
      <c r="AL66" s="3">
        <f>(E4b!M66-Z66-(E4b!L66-Y66))/(E4b!M66-E4b!L66)</f>
        <v>0.2</v>
      </c>
      <c r="AM66" s="3">
        <f>(E4b!N66-AA66-(E4b!M66-Z66))/(E4b!N66-E4b!M66)</f>
        <v>0.2006</v>
      </c>
    </row>
    <row r="67" spans="1:39" ht="15.75" customHeight="1" x14ac:dyDescent="0.25">
      <c r="A67" s="21">
        <v>2089</v>
      </c>
      <c r="B67" s="27">
        <f t="shared" si="37"/>
        <v>0</v>
      </c>
      <c r="C67" s="27">
        <f t="shared" si="38"/>
        <v>0</v>
      </c>
      <c r="D67" s="27">
        <f t="shared" si="39"/>
        <v>0</v>
      </c>
      <c r="E67" s="27">
        <f t="shared" si="40"/>
        <v>0.05</v>
      </c>
      <c r="F67" s="27">
        <f t="shared" si="41"/>
        <v>0.05</v>
      </c>
      <c r="G67" s="27">
        <f t="shared" si="42"/>
        <v>0.1</v>
      </c>
      <c r="H67" s="27">
        <f t="shared" si="43"/>
        <v>0.1</v>
      </c>
      <c r="I67" s="27">
        <f t="shared" si="44"/>
        <v>0.15</v>
      </c>
      <c r="J67" s="27">
        <f t="shared" si="45"/>
        <v>0.15</v>
      </c>
      <c r="K67" s="27">
        <f t="shared" si="46"/>
        <v>0.2</v>
      </c>
      <c r="L67" s="27">
        <f t="shared" si="47"/>
        <v>0.2</v>
      </c>
      <c r="M67" s="27">
        <f t="shared" si="48"/>
        <v>0.2</v>
      </c>
      <c r="O67">
        <f>(1-B67)*E4b!B67</f>
        <v>3</v>
      </c>
      <c r="P67">
        <f>(1-C67)*E4b!C67</f>
        <v>4</v>
      </c>
      <c r="Q67">
        <f>(1-D67)*E4b!D67</f>
        <v>6.5500000000000016</v>
      </c>
      <c r="R67">
        <f>(1-E67)*E4b!E67</f>
        <v>8.1224999999999934</v>
      </c>
      <c r="S67">
        <f>(1-F67)*E4b!F67</f>
        <v>9.5</v>
      </c>
      <c r="T67">
        <f>(1-G67)*E4b!G67</f>
        <v>18</v>
      </c>
      <c r="U67">
        <f>(1-H67)*E4b!H67</f>
        <v>45</v>
      </c>
      <c r="V67">
        <f>(1-I67)*E4b!I67</f>
        <v>85</v>
      </c>
      <c r="W67">
        <f>(1-J67)*E4b!J67</f>
        <v>170</v>
      </c>
      <c r="X67">
        <f>(1-K67)*E4b!K67</f>
        <v>400</v>
      </c>
      <c r="Y67">
        <f>(1-L67)*E4b!L67</f>
        <v>800</v>
      </c>
      <c r="Z67">
        <f>(1-M67)*E4b!M67</f>
        <v>4000</v>
      </c>
      <c r="AA67">
        <v>3</v>
      </c>
      <c r="AB67" s="3">
        <f>(E4b!C67-P67-(E4b!B67-O67))/(E4b!C67-E4b!B67)</f>
        <v>0</v>
      </c>
      <c r="AC67" s="3">
        <f>(E4b!D67-Q67-(E4b!C67-P67))/(E4b!D67-E4b!C67)</f>
        <v>0</v>
      </c>
      <c r="AD67" s="68">
        <f>(E4b!E67-R67-(E4b!D67-Q67))/(E4b!E67-E4b!D67)</f>
        <v>0.21375000000000097</v>
      </c>
      <c r="AE67" s="68">
        <f>(E4b!F67-S67-(E4b!E67-R67))/(E4b!F67-E4b!E67)</f>
        <v>4.9999999999999635E-2</v>
      </c>
      <c r="AF67" s="68">
        <f>(E4b!G67-T67-(E4b!F67-S67))/(E4b!G67-E4b!F67)</f>
        <v>0.15</v>
      </c>
      <c r="AG67" s="68">
        <f>(E4b!H67-U67-(E4b!G67-T67))/(E4b!H67-E4b!G67)</f>
        <v>0.1</v>
      </c>
      <c r="AH67" s="68">
        <f>(E4b!I67-V67-(E4b!H67-U67))/(E4b!I67-E4b!H67)</f>
        <v>0.2</v>
      </c>
      <c r="AI67" s="68">
        <f>(E4b!J67-W67-(E4b!I67-V67))/(E4b!J67-E4b!I67)</f>
        <v>0.15</v>
      </c>
      <c r="AJ67" s="3">
        <f>(E4b!K67-X67-(E4b!J67-W67))/(E4b!K67-E4b!J67)</f>
        <v>0.23333333333333334</v>
      </c>
      <c r="AK67" s="3">
        <f>(E4b!L67-Y67-(E4b!K67-X67))/(E4b!L67-E4b!K67)</f>
        <v>0.2</v>
      </c>
      <c r="AL67" s="3">
        <f>(E4b!M67-Z67-(E4b!L67-Y67))/(E4b!M67-E4b!L67)</f>
        <v>0.2</v>
      </c>
      <c r="AM67" s="3">
        <f>(E4b!N67-AA67-(E4b!M67-Z67))/(E4b!N67-E4b!M67)</f>
        <v>0.2006</v>
      </c>
    </row>
    <row r="68" spans="1:39" ht="15.75" customHeight="1" x14ac:dyDescent="0.25">
      <c r="A68" s="21">
        <v>2090</v>
      </c>
      <c r="B68" s="27">
        <f t="shared" si="37"/>
        <v>0</v>
      </c>
      <c r="C68" s="27">
        <f t="shared" si="38"/>
        <v>0</v>
      </c>
      <c r="D68" s="27">
        <f t="shared" si="39"/>
        <v>0</v>
      </c>
      <c r="E68" s="27">
        <f t="shared" si="40"/>
        <v>0.05</v>
      </c>
      <c r="F68" s="27">
        <f t="shared" si="41"/>
        <v>0.05</v>
      </c>
      <c r="G68" s="27">
        <f t="shared" si="42"/>
        <v>0.1</v>
      </c>
      <c r="H68" s="27">
        <f t="shared" si="43"/>
        <v>0.1</v>
      </c>
      <c r="I68" s="27">
        <f t="shared" si="44"/>
        <v>0.15</v>
      </c>
      <c r="J68" s="27">
        <f t="shared" si="45"/>
        <v>0.15</v>
      </c>
      <c r="K68" s="27">
        <f t="shared" si="46"/>
        <v>0.2</v>
      </c>
      <c r="L68" s="27">
        <f t="shared" si="47"/>
        <v>0.2</v>
      </c>
      <c r="M68" s="27">
        <f t="shared" si="48"/>
        <v>0.2</v>
      </c>
      <c r="O68">
        <f>(1-B68)*E4b!B68</f>
        <v>3</v>
      </c>
      <c r="P68">
        <f>(1-C68)*E4b!C68</f>
        <v>4</v>
      </c>
      <c r="Q68">
        <f>(1-D68)*E4b!D68</f>
        <v>6.5000000000000018</v>
      </c>
      <c r="R68">
        <f>(1-E68)*E4b!E68</f>
        <v>8.0749999999999922</v>
      </c>
      <c r="S68">
        <f>(1-F68)*E4b!F68</f>
        <v>9.5</v>
      </c>
      <c r="T68">
        <f>(1-G68)*E4b!G68</f>
        <v>18</v>
      </c>
      <c r="U68">
        <f>(1-H68)*E4b!H68</f>
        <v>45</v>
      </c>
      <c r="V68">
        <f>(1-I68)*E4b!I68</f>
        <v>85</v>
      </c>
      <c r="W68">
        <f>(1-J68)*E4b!J68</f>
        <v>170</v>
      </c>
      <c r="X68">
        <f>(1-K68)*E4b!K68</f>
        <v>400</v>
      </c>
      <c r="Y68">
        <f>(1-L68)*E4b!L68</f>
        <v>800</v>
      </c>
      <c r="Z68">
        <f>(1-M68)*E4b!M68</f>
        <v>4000</v>
      </c>
      <c r="AA68">
        <v>3</v>
      </c>
      <c r="AB68" s="3">
        <f>(E4b!C68-P68-(E4b!B68-O68))/(E4b!C68-E4b!B68)</f>
        <v>0</v>
      </c>
      <c r="AC68" s="3">
        <f>(E4b!D68-Q68-(E4b!C68-P68))/(E4b!D68-E4b!C68)</f>
        <v>0</v>
      </c>
      <c r="AD68" s="68">
        <f>(E4b!E68-R68-(E4b!D68-Q68))/(E4b!E68-E4b!D68)</f>
        <v>0.2125000000000013</v>
      </c>
      <c r="AE68" s="68">
        <f>(E4b!F68-S68-(E4b!E68-R68))/(E4b!F68-E4b!E68)</f>
        <v>4.9999999999999288E-2</v>
      </c>
      <c r="AF68" s="68">
        <f>(E4b!G68-T68-(E4b!F68-S68))/(E4b!G68-E4b!F68)</f>
        <v>0.15</v>
      </c>
      <c r="AG68" s="68">
        <f>(E4b!H68-U68-(E4b!G68-T68))/(E4b!H68-E4b!G68)</f>
        <v>0.1</v>
      </c>
      <c r="AH68" s="68">
        <f>(E4b!I68-V68-(E4b!H68-U68))/(E4b!I68-E4b!H68)</f>
        <v>0.2</v>
      </c>
      <c r="AI68" s="68">
        <f>(E4b!J68-W68-(E4b!I68-V68))/(E4b!J68-E4b!I68)</f>
        <v>0.15</v>
      </c>
      <c r="AJ68" s="3">
        <f>(E4b!K68-X68-(E4b!J68-W68))/(E4b!K68-E4b!J68)</f>
        <v>0.23333333333333334</v>
      </c>
      <c r="AK68" s="3">
        <f>(E4b!L68-Y68-(E4b!K68-X68))/(E4b!L68-E4b!K68)</f>
        <v>0.2</v>
      </c>
      <c r="AL68" s="3">
        <f>(E4b!M68-Z68-(E4b!L68-Y68))/(E4b!M68-E4b!L68)</f>
        <v>0.2</v>
      </c>
      <c r="AM68" s="3">
        <f>(E4b!N68-AA68-(E4b!M68-Z68))/(E4b!N68-E4b!M68)</f>
        <v>0.2006</v>
      </c>
    </row>
    <row r="69" spans="1:39" ht="15.75" customHeight="1" x14ac:dyDescent="0.25">
      <c r="A69" s="21">
        <v>2091</v>
      </c>
      <c r="B69" s="27">
        <f t="shared" si="37"/>
        <v>0</v>
      </c>
      <c r="C69" s="27">
        <f t="shared" si="38"/>
        <v>0</v>
      </c>
      <c r="D69" s="27">
        <f t="shared" si="39"/>
        <v>0</v>
      </c>
      <c r="E69" s="27">
        <f t="shared" si="40"/>
        <v>0.05</v>
      </c>
      <c r="F69" s="27">
        <f t="shared" si="41"/>
        <v>0.05</v>
      </c>
      <c r="G69" s="27">
        <f t="shared" si="42"/>
        <v>0.1</v>
      </c>
      <c r="H69" s="27">
        <f t="shared" si="43"/>
        <v>0.1</v>
      </c>
      <c r="I69" s="27">
        <f t="shared" si="44"/>
        <v>0.15</v>
      </c>
      <c r="J69" s="27">
        <f t="shared" si="45"/>
        <v>0.15</v>
      </c>
      <c r="K69" s="27">
        <f t="shared" si="46"/>
        <v>0.2</v>
      </c>
      <c r="L69" s="27">
        <f t="shared" si="47"/>
        <v>0.2</v>
      </c>
      <c r="M69" s="27">
        <f t="shared" si="48"/>
        <v>0.2</v>
      </c>
      <c r="O69">
        <f>(1-B69)*E4b!B69</f>
        <v>3</v>
      </c>
      <c r="P69">
        <f>(1-C69)*E4b!C69</f>
        <v>4</v>
      </c>
      <c r="Q69">
        <f>(1-D69)*E4b!D69</f>
        <v>6.450000000000002</v>
      </c>
      <c r="R69">
        <f>(1-E69)*E4b!E69</f>
        <v>8.0274999999999928</v>
      </c>
      <c r="S69">
        <f>(1-F69)*E4b!F69</f>
        <v>9.5</v>
      </c>
      <c r="T69">
        <f>(1-G69)*E4b!G69</f>
        <v>18</v>
      </c>
      <c r="U69">
        <f>(1-H69)*E4b!H69</f>
        <v>45</v>
      </c>
      <c r="V69">
        <f>(1-I69)*E4b!I69</f>
        <v>85</v>
      </c>
      <c r="W69">
        <f>(1-J69)*E4b!J69</f>
        <v>170</v>
      </c>
      <c r="X69">
        <f>(1-K69)*E4b!K69</f>
        <v>400</v>
      </c>
      <c r="Y69">
        <f>(1-L69)*E4b!L69</f>
        <v>800</v>
      </c>
      <c r="Z69">
        <f>(1-M69)*E4b!M69</f>
        <v>4000</v>
      </c>
      <c r="AA69">
        <v>3</v>
      </c>
      <c r="AB69" s="3">
        <f>(E4b!C69-P69-(E4b!B69-O69))/(E4b!C69-E4b!B69)</f>
        <v>0</v>
      </c>
      <c r="AC69" s="3">
        <f>(E4b!D69-Q69-(E4b!C69-P69))/(E4b!D69-E4b!C69)</f>
        <v>0</v>
      </c>
      <c r="AD69" s="68">
        <f>(E4b!E69-R69-(E4b!D69-Q69))/(E4b!E69-E4b!D69)</f>
        <v>0.21125000000000074</v>
      </c>
      <c r="AE69" s="68">
        <f>(E4b!F69-S69-(E4b!E69-R69))/(E4b!F69-E4b!E69)</f>
        <v>5.0000000000000114E-2</v>
      </c>
      <c r="AF69" s="68">
        <f>(E4b!G69-T69-(E4b!F69-S69))/(E4b!G69-E4b!F69)</f>
        <v>0.15</v>
      </c>
      <c r="AG69" s="68">
        <f>(E4b!H69-U69-(E4b!G69-T69))/(E4b!H69-E4b!G69)</f>
        <v>0.1</v>
      </c>
      <c r="AH69" s="68">
        <f>(E4b!I69-V69-(E4b!H69-U69))/(E4b!I69-E4b!H69)</f>
        <v>0.2</v>
      </c>
      <c r="AI69" s="68">
        <f>(E4b!J69-W69-(E4b!I69-V69))/(E4b!J69-E4b!I69)</f>
        <v>0.15</v>
      </c>
      <c r="AJ69" s="3">
        <f>(E4b!K69-X69-(E4b!J69-W69))/(E4b!K69-E4b!J69)</f>
        <v>0.23333333333333334</v>
      </c>
      <c r="AK69" s="3">
        <f>(E4b!L69-Y69-(E4b!K69-X69))/(E4b!L69-E4b!K69)</f>
        <v>0.2</v>
      </c>
      <c r="AL69" s="3">
        <f>(E4b!M69-Z69-(E4b!L69-Y69))/(E4b!M69-E4b!L69)</f>
        <v>0.2</v>
      </c>
      <c r="AM69" s="3">
        <f>(E4b!N69-AA69-(E4b!M69-Z69))/(E4b!N69-E4b!M69)</f>
        <v>0.2006</v>
      </c>
    </row>
    <row r="70" spans="1:39" ht="15.75" customHeight="1" x14ac:dyDescent="0.25">
      <c r="A70" s="21">
        <v>2092</v>
      </c>
      <c r="B70" s="27">
        <f t="shared" si="37"/>
        <v>0</v>
      </c>
      <c r="C70" s="27">
        <f t="shared" si="38"/>
        <v>0</v>
      </c>
      <c r="D70" s="27">
        <f t="shared" si="39"/>
        <v>0</v>
      </c>
      <c r="E70" s="27">
        <f t="shared" si="40"/>
        <v>0.05</v>
      </c>
      <c r="F70" s="27">
        <f t="shared" si="41"/>
        <v>0.05</v>
      </c>
      <c r="G70" s="27">
        <f t="shared" si="42"/>
        <v>0.1</v>
      </c>
      <c r="H70" s="27">
        <f t="shared" si="43"/>
        <v>0.1</v>
      </c>
      <c r="I70" s="27">
        <f t="shared" si="44"/>
        <v>0.15</v>
      </c>
      <c r="J70" s="27">
        <f t="shared" si="45"/>
        <v>0.15</v>
      </c>
      <c r="K70" s="27">
        <f t="shared" si="46"/>
        <v>0.2</v>
      </c>
      <c r="L70" s="27">
        <f t="shared" si="47"/>
        <v>0.2</v>
      </c>
      <c r="M70" s="27">
        <f t="shared" si="48"/>
        <v>0.2</v>
      </c>
      <c r="O70">
        <f>(1-B70)*E4b!B70</f>
        <v>3</v>
      </c>
      <c r="P70">
        <f>(1-C70)*E4b!C70</f>
        <v>4</v>
      </c>
      <c r="Q70">
        <f>(1-D70)*E4b!D70</f>
        <v>6.4000000000000021</v>
      </c>
      <c r="R70">
        <f>(1-E70)*E4b!E70</f>
        <v>7.9799999999999915</v>
      </c>
      <c r="S70">
        <f>(1-F70)*E4b!F70</f>
        <v>9.5</v>
      </c>
      <c r="T70">
        <f>(1-G70)*E4b!G70</f>
        <v>18</v>
      </c>
      <c r="U70">
        <f>(1-H70)*E4b!H70</f>
        <v>45</v>
      </c>
      <c r="V70">
        <f>(1-I70)*E4b!I70</f>
        <v>85</v>
      </c>
      <c r="W70">
        <f>(1-J70)*E4b!J70</f>
        <v>170</v>
      </c>
      <c r="X70">
        <f>(1-K70)*E4b!K70</f>
        <v>400</v>
      </c>
      <c r="Y70">
        <f>(1-L70)*E4b!L70</f>
        <v>800</v>
      </c>
      <c r="Z70">
        <f>(1-M70)*E4b!M70</f>
        <v>4000</v>
      </c>
      <c r="AA70">
        <v>3</v>
      </c>
      <c r="AB70" s="3">
        <f>(E4b!C70-P70-(E4b!B70-O70))/(E4b!C70-E4b!B70)</f>
        <v>0</v>
      </c>
      <c r="AC70" s="3">
        <f>(E4b!D70-Q70-(E4b!C70-P70))/(E4b!D70-E4b!C70)</f>
        <v>0</v>
      </c>
      <c r="AD70" s="68">
        <f>(E4b!E70-R70-(E4b!D70-Q70))/(E4b!E70-E4b!D70)</f>
        <v>0.21000000000000107</v>
      </c>
      <c r="AE70" s="68">
        <f>(E4b!F70-S70-(E4b!E70-R70))/(E4b!F70-E4b!E70)</f>
        <v>4.9999999999999781E-2</v>
      </c>
      <c r="AF70" s="68">
        <f>(E4b!G70-T70-(E4b!F70-S70))/(E4b!G70-E4b!F70)</f>
        <v>0.15</v>
      </c>
      <c r="AG70" s="68">
        <f>(E4b!H70-U70-(E4b!G70-T70))/(E4b!H70-E4b!G70)</f>
        <v>0.1</v>
      </c>
      <c r="AH70" s="68">
        <f>(E4b!I70-V70-(E4b!H70-U70))/(E4b!I70-E4b!H70)</f>
        <v>0.2</v>
      </c>
      <c r="AI70" s="68">
        <f>(E4b!J70-W70-(E4b!I70-V70))/(E4b!J70-E4b!I70)</f>
        <v>0.15</v>
      </c>
      <c r="AJ70" s="3">
        <f>(E4b!K70-X70-(E4b!J70-W70))/(E4b!K70-E4b!J70)</f>
        <v>0.23333333333333334</v>
      </c>
      <c r="AK70" s="3">
        <f>(E4b!L70-Y70-(E4b!K70-X70))/(E4b!L70-E4b!K70)</f>
        <v>0.2</v>
      </c>
      <c r="AL70" s="3">
        <f>(E4b!M70-Z70-(E4b!L70-Y70))/(E4b!M70-E4b!L70)</f>
        <v>0.2</v>
      </c>
      <c r="AM70" s="3">
        <f>(E4b!N70-AA70-(E4b!M70-Z70))/(E4b!N70-E4b!M70)</f>
        <v>0.2006</v>
      </c>
    </row>
    <row r="71" spans="1:39" ht="15.75" customHeight="1" x14ac:dyDescent="0.25">
      <c r="A71" s="21">
        <v>2093</v>
      </c>
      <c r="B71" s="27">
        <f t="shared" si="37"/>
        <v>0</v>
      </c>
      <c r="C71" s="27">
        <f t="shared" si="38"/>
        <v>0</v>
      </c>
      <c r="D71" s="27">
        <f t="shared" si="39"/>
        <v>0</v>
      </c>
      <c r="E71" s="27">
        <f t="shared" si="40"/>
        <v>0.05</v>
      </c>
      <c r="F71" s="27">
        <f t="shared" si="41"/>
        <v>0.05</v>
      </c>
      <c r="G71" s="27">
        <f t="shared" si="42"/>
        <v>0.1</v>
      </c>
      <c r="H71" s="27">
        <f t="shared" si="43"/>
        <v>0.1</v>
      </c>
      <c r="I71" s="27">
        <f t="shared" si="44"/>
        <v>0.15</v>
      </c>
      <c r="J71" s="27">
        <f t="shared" si="45"/>
        <v>0.15</v>
      </c>
      <c r="K71" s="27">
        <f t="shared" si="46"/>
        <v>0.2</v>
      </c>
      <c r="L71" s="27">
        <f t="shared" si="47"/>
        <v>0.2</v>
      </c>
      <c r="M71" s="27">
        <f t="shared" si="48"/>
        <v>0.2</v>
      </c>
      <c r="O71">
        <f>(1-B71)*E4b!B71</f>
        <v>3</v>
      </c>
      <c r="P71">
        <f>(1-C71)*E4b!C71</f>
        <v>4</v>
      </c>
      <c r="Q71">
        <f>(1-D71)*E4b!D71</f>
        <v>6.3500000000000023</v>
      </c>
      <c r="R71">
        <f>(1-E71)*E4b!E71</f>
        <v>7.9324999999999912</v>
      </c>
      <c r="S71">
        <f>(1-F71)*E4b!F71</f>
        <v>9.5</v>
      </c>
      <c r="T71">
        <f>(1-G71)*E4b!G71</f>
        <v>18</v>
      </c>
      <c r="U71">
        <f>(1-H71)*E4b!H71</f>
        <v>45</v>
      </c>
      <c r="V71">
        <f>(1-I71)*E4b!I71</f>
        <v>85</v>
      </c>
      <c r="W71">
        <f>(1-J71)*E4b!J71</f>
        <v>170</v>
      </c>
      <c r="X71">
        <f>(1-K71)*E4b!K71</f>
        <v>400</v>
      </c>
      <c r="Y71">
        <f>(1-L71)*E4b!L71</f>
        <v>800</v>
      </c>
      <c r="Z71">
        <f>(1-M71)*E4b!M71</f>
        <v>4000</v>
      </c>
      <c r="AA71">
        <v>3</v>
      </c>
      <c r="AB71" s="3">
        <f>(E4b!C71-P71-(E4b!B71-O71))/(E4b!C71-E4b!B71)</f>
        <v>0</v>
      </c>
      <c r="AC71" s="3">
        <f>(E4b!D71-Q71-(E4b!C71-P71))/(E4b!D71-E4b!C71)</f>
        <v>0</v>
      </c>
      <c r="AD71" s="68">
        <f>(E4b!E71-R71-(E4b!D71-Q71))/(E4b!E71-E4b!D71)</f>
        <v>0.20875000000000096</v>
      </c>
      <c r="AE71" s="68">
        <f>(E4b!F71-S71-(E4b!E71-R71))/(E4b!F71-E4b!E71)</f>
        <v>0.05</v>
      </c>
      <c r="AF71" s="68">
        <f>(E4b!G71-T71-(E4b!F71-S71))/(E4b!G71-E4b!F71)</f>
        <v>0.15</v>
      </c>
      <c r="AG71" s="68">
        <f>(E4b!H71-U71-(E4b!G71-T71))/(E4b!H71-E4b!G71)</f>
        <v>0.1</v>
      </c>
      <c r="AH71" s="68">
        <f>(E4b!I71-V71-(E4b!H71-U71))/(E4b!I71-E4b!H71)</f>
        <v>0.2</v>
      </c>
      <c r="AI71" s="68">
        <f>(E4b!J71-W71-(E4b!I71-V71))/(E4b!J71-E4b!I71)</f>
        <v>0.15</v>
      </c>
      <c r="AJ71" s="3">
        <f>(E4b!K71-X71-(E4b!J71-W71))/(E4b!K71-E4b!J71)</f>
        <v>0.23333333333333334</v>
      </c>
      <c r="AK71" s="3">
        <f>(E4b!L71-Y71-(E4b!K71-X71))/(E4b!L71-E4b!K71)</f>
        <v>0.2</v>
      </c>
      <c r="AL71" s="3">
        <f>(E4b!M71-Z71-(E4b!L71-Y71))/(E4b!M71-E4b!L71)</f>
        <v>0.2</v>
      </c>
      <c r="AM71" s="3">
        <f>(E4b!N71-AA71-(E4b!M71-Z71))/(E4b!N71-E4b!M71)</f>
        <v>0.2006</v>
      </c>
    </row>
    <row r="72" spans="1:39" ht="15.75" customHeight="1" x14ac:dyDescent="0.25">
      <c r="A72" s="21">
        <v>2094</v>
      </c>
      <c r="B72" s="27">
        <f t="shared" si="37"/>
        <v>0</v>
      </c>
      <c r="C72" s="27">
        <f t="shared" si="38"/>
        <v>0</v>
      </c>
      <c r="D72" s="27">
        <f t="shared" si="39"/>
        <v>0</v>
      </c>
      <c r="E72" s="27">
        <f t="shared" si="40"/>
        <v>0.05</v>
      </c>
      <c r="F72" s="27">
        <f t="shared" si="41"/>
        <v>0.05</v>
      </c>
      <c r="G72" s="27">
        <f t="shared" si="42"/>
        <v>0.1</v>
      </c>
      <c r="H72" s="27">
        <f t="shared" si="43"/>
        <v>0.1</v>
      </c>
      <c r="I72" s="27">
        <f t="shared" si="44"/>
        <v>0.15</v>
      </c>
      <c r="J72" s="27">
        <f t="shared" si="45"/>
        <v>0.15</v>
      </c>
      <c r="K72" s="27">
        <f t="shared" si="46"/>
        <v>0.2</v>
      </c>
      <c r="L72" s="27">
        <f t="shared" si="47"/>
        <v>0.2</v>
      </c>
      <c r="M72" s="27">
        <f t="shared" si="48"/>
        <v>0.2</v>
      </c>
      <c r="O72">
        <f>(1-B72)*E4b!B72</f>
        <v>3</v>
      </c>
      <c r="P72">
        <f>(1-C72)*E4b!C72</f>
        <v>4</v>
      </c>
      <c r="Q72">
        <f>(1-D72)*E4b!D72</f>
        <v>6.3000000000000025</v>
      </c>
      <c r="R72">
        <f>(1-E72)*E4b!E72</f>
        <v>7.88499999999999</v>
      </c>
      <c r="S72">
        <f>(1-F72)*E4b!F72</f>
        <v>9.5</v>
      </c>
      <c r="T72">
        <f>(1-G72)*E4b!G72</f>
        <v>18</v>
      </c>
      <c r="U72">
        <f>(1-H72)*E4b!H72</f>
        <v>45</v>
      </c>
      <c r="V72">
        <f>(1-I72)*E4b!I72</f>
        <v>85</v>
      </c>
      <c r="W72">
        <f>(1-J72)*E4b!J72</f>
        <v>170</v>
      </c>
      <c r="X72">
        <f>(1-K72)*E4b!K72</f>
        <v>400</v>
      </c>
      <c r="Y72">
        <f>(1-L72)*E4b!L72</f>
        <v>800</v>
      </c>
      <c r="Z72">
        <f>(1-M72)*E4b!M72</f>
        <v>4000</v>
      </c>
      <c r="AA72">
        <v>3</v>
      </c>
      <c r="AB72" s="3">
        <f>(E4b!C72-P72-(E4b!B72-O72))/(E4b!C72-E4b!B72)</f>
        <v>0</v>
      </c>
      <c r="AC72" s="3">
        <f>(E4b!D72-Q72-(E4b!C72-P72))/(E4b!D72-E4b!C72)</f>
        <v>0</v>
      </c>
      <c r="AD72" s="68">
        <f>(E4b!E72-R72-(E4b!D72-Q72))/(E4b!E72-E4b!D72)</f>
        <v>0.20750000000000129</v>
      </c>
      <c r="AE72" s="68">
        <f>(E4b!F72-S72-(E4b!E72-R72))/(E4b!F72-E4b!E72)</f>
        <v>4.9999999999999684E-2</v>
      </c>
      <c r="AF72" s="68">
        <f>(E4b!G72-T72-(E4b!F72-S72))/(E4b!G72-E4b!F72)</f>
        <v>0.15</v>
      </c>
      <c r="AG72" s="68">
        <f>(E4b!H72-U72-(E4b!G72-T72))/(E4b!H72-E4b!G72)</f>
        <v>0.1</v>
      </c>
      <c r="AH72" s="68">
        <f>(E4b!I72-V72-(E4b!H72-U72))/(E4b!I72-E4b!H72)</f>
        <v>0.2</v>
      </c>
      <c r="AI72" s="68">
        <f>(E4b!J72-W72-(E4b!I72-V72))/(E4b!J72-E4b!I72)</f>
        <v>0.15</v>
      </c>
      <c r="AJ72" s="3">
        <f>(E4b!K72-X72-(E4b!J72-W72))/(E4b!K72-E4b!J72)</f>
        <v>0.23333333333333334</v>
      </c>
      <c r="AK72" s="3">
        <f>(E4b!L72-Y72-(E4b!K72-X72))/(E4b!L72-E4b!K72)</f>
        <v>0.2</v>
      </c>
      <c r="AL72" s="3">
        <f>(E4b!M72-Z72-(E4b!L72-Y72))/(E4b!M72-E4b!L72)</f>
        <v>0.2</v>
      </c>
      <c r="AM72" s="3">
        <f>(E4b!N72-AA72-(E4b!M72-Z72))/(E4b!N72-E4b!M72)</f>
        <v>0.2006</v>
      </c>
    </row>
    <row r="73" spans="1:39" ht="15.75" customHeight="1" x14ac:dyDescent="0.25">
      <c r="A73" s="21">
        <v>2095</v>
      </c>
      <c r="B73" s="27">
        <f t="shared" si="37"/>
        <v>0</v>
      </c>
      <c r="C73" s="27">
        <f t="shared" si="38"/>
        <v>0</v>
      </c>
      <c r="D73" s="27">
        <f t="shared" si="39"/>
        <v>0</v>
      </c>
      <c r="E73" s="27">
        <f t="shared" si="40"/>
        <v>0.05</v>
      </c>
      <c r="F73" s="27">
        <f t="shared" si="41"/>
        <v>0.05</v>
      </c>
      <c r="G73" s="27">
        <f t="shared" si="42"/>
        <v>0.1</v>
      </c>
      <c r="H73" s="27">
        <f t="shared" si="43"/>
        <v>0.1</v>
      </c>
      <c r="I73" s="27">
        <f t="shared" si="44"/>
        <v>0.15</v>
      </c>
      <c r="J73" s="27">
        <f t="shared" si="45"/>
        <v>0.15</v>
      </c>
      <c r="K73" s="27">
        <f t="shared" si="46"/>
        <v>0.2</v>
      </c>
      <c r="L73" s="27">
        <f t="shared" si="47"/>
        <v>0.2</v>
      </c>
      <c r="M73" s="27">
        <f t="shared" si="48"/>
        <v>0.2</v>
      </c>
      <c r="O73">
        <f>(1-B73)*E4b!B73</f>
        <v>3</v>
      </c>
      <c r="P73">
        <f>(1-C73)*E4b!C73</f>
        <v>4</v>
      </c>
      <c r="Q73">
        <f>(1-D73)*E4b!D73</f>
        <v>6.2500000000000027</v>
      </c>
      <c r="R73">
        <f>(1-E73)*E4b!E73</f>
        <v>7.8374999999999897</v>
      </c>
      <c r="S73">
        <f>(1-F73)*E4b!F73</f>
        <v>9.5</v>
      </c>
      <c r="T73">
        <f>(1-G73)*E4b!G73</f>
        <v>18</v>
      </c>
      <c r="U73">
        <f>(1-H73)*E4b!H73</f>
        <v>45</v>
      </c>
      <c r="V73">
        <f>(1-I73)*E4b!I73</f>
        <v>85</v>
      </c>
      <c r="W73">
        <f>(1-J73)*E4b!J73</f>
        <v>170</v>
      </c>
      <c r="X73">
        <f>(1-K73)*E4b!K73</f>
        <v>400</v>
      </c>
      <c r="Y73">
        <f>(1-L73)*E4b!L73</f>
        <v>800</v>
      </c>
      <c r="Z73">
        <f>(1-M73)*E4b!M73</f>
        <v>4000</v>
      </c>
      <c r="AA73">
        <v>3</v>
      </c>
      <c r="AB73" s="3">
        <f>(E4b!C73-P73-(E4b!B73-O73))/(E4b!C73-E4b!B73)</f>
        <v>0</v>
      </c>
      <c r="AC73" s="3">
        <f>(E4b!D73-Q73-(E4b!C73-P73))/(E4b!D73-E4b!C73)</f>
        <v>0</v>
      </c>
      <c r="AD73" s="68">
        <f>(E4b!E73-R73-(E4b!D73-Q73))/(E4b!E73-E4b!D73)</f>
        <v>0.20625000000000121</v>
      </c>
      <c r="AE73" s="68">
        <f>(E4b!F73-S73-(E4b!E73-R73))/(E4b!F73-E4b!E73)</f>
        <v>4.9999999999999899E-2</v>
      </c>
      <c r="AF73" s="68">
        <f>(E4b!G73-T73-(E4b!F73-S73))/(E4b!G73-E4b!F73)</f>
        <v>0.15</v>
      </c>
      <c r="AG73" s="68">
        <f>(E4b!H73-U73-(E4b!G73-T73))/(E4b!H73-E4b!G73)</f>
        <v>0.1</v>
      </c>
      <c r="AH73" s="68">
        <f>(E4b!I73-V73-(E4b!H73-U73))/(E4b!I73-E4b!H73)</f>
        <v>0.2</v>
      </c>
      <c r="AI73" s="68">
        <f>(E4b!J73-W73-(E4b!I73-V73))/(E4b!J73-E4b!I73)</f>
        <v>0.15</v>
      </c>
      <c r="AJ73" s="3">
        <f>(E4b!K73-X73-(E4b!J73-W73))/(E4b!K73-E4b!J73)</f>
        <v>0.23333333333333334</v>
      </c>
      <c r="AK73" s="3">
        <f>(E4b!L73-Y73-(E4b!K73-X73))/(E4b!L73-E4b!K73)</f>
        <v>0.2</v>
      </c>
      <c r="AL73" s="3">
        <f>(E4b!M73-Z73-(E4b!L73-Y73))/(E4b!M73-E4b!L73)</f>
        <v>0.2</v>
      </c>
      <c r="AM73" s="3">
        <f>(E4b!N73-AA73-(E4b!M73-Z73))/(E4b!N73-E4b!M73)</f>
        <v>0.2006</v>
      </c>
    </row>
    <row r="74" spans="1:39" ht="15.75" customHeight="1" x14ac:dyDescent="0.25">
      <c r="A74" s="21">
        <v>2096</v>
      </c>
      <c r="B74" s="27">
        <f t="shared" si="37"/>
        <v>0</v>
      </c>
      <c r="C74" s="27">
        <f t="shared" si="38"/>
        <v>0</v>
      </c>
      <c r="D74" s="27">
        <f t="shared" si="39"/>
        <v>0</v>
      </c>
      <c r="E74" s="27">
        <f t="shared" si="40"/>
        <v>0.05</v>
      </c>
      <c r="F74" s="27">
        <f t="shared" si="41"/>
        <v>0.05</v>
      </c>
      <c r="G74" s="27">
        <f t="shared" si="42"/>
        <v>0.1</v>
      </c>
      <c r="H74" s="27">
        <f t="shared" si="43"/>
        <v>0.1</v>
      </c>
      <c r="I74" s="27">
        <f t="shared" si="44"/>
        <v>0.15</v>
      </c>
      <c r="J74" s="27">
        <f t="shared" si="45"/>
        <v>0.15</v>
      </c>
      <c r="K74" s="27">
        <f t="shared" si="46"/>
        <v>0.2</v>
      </c>
      <c r="L74" s="27">
        <f t="shared" si="47"/>
        <v>0.2</v>
      </c>
      <c r="M74" s="27">
        <f t="shared" si="48"/>
        <v>0.2</v>
      </c>
      <c r="O74">
        <f>(1-B74)*E4b!B74</f>
        <v>3</v>
      </c>
      <c r="P74">
        <f>(1-C74)*E4b!C74</f>
        <v>4</v>
      </c>
      <c r="Q74">
        <f>(1-D74)*E4b!D74</f>
        <v>6.2000000000000028</v>
      </c>
      <c r="R74">
        <f>(1-E74)*E4b!E74</f>
        <v>7.7899999999999885</v>
      </c>
      <c r="S74">
        <f>(1-F74)*E4b!F74</f>
        <v>9.5</v>
      </c>
      <c r="T74">
        <f>(1-G74)*E4b!G74</f>
        <v>18</v>
      </c>
      <c r="U74">
        <f>(1-H74)*E4b!H74</f>
        <v>45</v>
      </c>
      <c r="V74">
        <f>(1-I74)*E4b!I74</f>
        <v>85</v>
      </c>
      <c r="W74">
        <f>(1-J74)*E4b!J74</f>
        <v>170</v>
      </c>
      <c r="X74">
        <f>(1-K74)*E4b!K74</f>
        <v>400</v>
      </c>
      <c r="Y74">
        <f>(1-L74)*E4b!L74</f>
        <v>800</v>
      </c>
      <c r="Z74">
        <f>(1-M74)*E4b!M74</f>
        <v>4000</v>
      </c>
      <c r="AA74">
        <v>3</v>
      </c>
      <c r="AB74" s="3">
        <f>(E4b!C74-P74-(E4b!B74-O74))/(E4b!C74-E4b!B74)</f>
        <v>0</v>
      </c>
      <c r="AC74" s="3">
        <f>(E4b!D74-Q74-(E4b!C74-P74))/(E4b!D74-E4b!C74)</f>
        <v>0</v>
      </c>
      <c r="AD74" s="68">
        <f>(E4b!E74-R74-(E4b!D74-Q74))/(E4b!E74-E4b!D74)</f>
        <v>0.20500000000000151</v>
      </c>
      <c r="AE74" s="68">
        <f>(E4b!F74-S74-(E4b!E74-R74))/(E4b!F74-E4b!E74)</f>
        <v>4.9999999999999607E-2</v>
      </c>
      <c r="AF74" s="68">
        <f>(E4b!G74-T74-(E4b!F74-S74))/(E4b!G74-E4b!F74)</f>
        <v>0.15</v>
      </c>
      <c r="AG74" s="68">
        <f>(E4b!H74-U74-(E4b!G74-T74))/(E4b!H74-E4b!G74)</f>
        <v>0.1</v>
      </c>
      <c r="AH74" s="68">
        <f>(E4b!I74-V74-(E4b!H74-U74))/(E4b!I74-E4b!H74)</f>
        <v>0.2</v>
      </c>
      <c r="AI74" s="68">
        <f>(E4b!J74-W74-(E4b!I74-V74))/(E4b!J74-E4b!I74)</f>
        <v>0.15</v>
      </c>
      <c r="AJ74" s="3">
        <f>(E4b!K74-X74-(E4b!J74-W74))/(E4b!K74-E4b!J74)</f>
        <v>0.23333333333333334</v>
      </c>
      <c r="AK74" s="3">
        <f>(E4b!L74-Y74-(E4b!K74-X74))/(E4b!L74-E4b!K74)</f>
        <v>0.2</v>
      </c>
      <c r="AL74" s="3">
        <f>(E4b!M74-Z74-(E4b!L74-Y74))/(E4b!M74-E4b!L74)</f>
        <v>0.2</v>
      </c>
      <c r="AM74" s="3">
        <f>(E4b!N74-AA74-(E4b!M74-Z74))/(E4b!N74-E4b!M74)</f>
        <v>0.2006</v>
      </c>
    </row>
    <row r="75" spans="1:39" ht="15.75" customHeight="1" x14ac:dyDescent="0.25">
      <c r="A75" s="21">
        <v>2097</v>
      </c>
      <c r="B75" s="27">
        <f t="shared" si="37"/>
        <v>0</v>
      </c>
      <c r="C75" s="27">
        <f t="shared" si="38"/>
        <v>0</v>
      </c>
      <c r="D75" s="27">
        <f t="shared" si="39"/>
        <v>0</v>
      </c>
      <c r="E75" s="27">
        <f t="shared" si="40"/>
        <v>0.05</v>
      </c>
      <c r="F75" s="27">
        <f t="shared" si="41"/>
        <v>0.05</v>
      </c>
      <c r="G75" s="27">
        <f t="shared" si="42"/>
        <v>0.1</v>
      </c>
      <c r="H75" s="27">
        <f t="shared" si="43"/>
        <v>0.1</v>
      </c>
      <c r="I75" s="27">
        <f t="shared" si="44"/>
        <v>0.15</v>
      </c>
      <c r="J75" s="27">
        <f t="shared" si="45"/>
        <v>0.15</v>
      </c>
      <c r="K75" s="27">
        <f t="shared" si="46"/>
        <v>0.2</v>
      </c>
      <c r="L75" s="27">
        <f t="shared" si="47"/>
        <v>0.2</v>
      </c>
      <c r="M75" s="27">
        <f t="shared" si="48"/>
        <v>0.2</v>
      </c>
      <c r="O75">
        <f>(1-B75)*E4b!B75</f>
        <v>3</v>
      </c>
      <c r="P75">
        <f>(1-C75)*E4b!C75</f>
        <v>4</v>
      </c>
      <c r="Q75">
        <f>(1-D75)*E4b!D75</f>
        <v>6.150000000000003</v>
      </c>
      <c r="R75">
        <f>(1-E75)*E4b!E75</f>
        <v>7.7424999999999882</v>
      </c>
      <c r="S75">
        <f>(1-F75)*E4b!F75</f>
        <v>9.5</v>
      </c>
      <c r="T75">
        <f>(1-G75)*E4b!G75</f>
        <v>18</v>
      </c>
      <c r="U75">
        <f>(1-H75)*E4b!H75</f>
        <v>45</v>
      </c>
      <c r="V75">
        <f>(1-I75)*E4b!I75</f>
        <v>85</v>
      </c>
      <c r="W75">
        <f>(1-J75)*E4b!J75</f>
        <v>170</v>
      </c>
      <c r="X75">
        <f>(1-K75)*E4b!K75</f>
        <v>400</v>
      </c>
      <c r="Y75">
        <f>(1-L75)*E4b!L75</f>
        <v>800</v>
      </c>
      <c r="Z75">
        <f>(1-M75)*E4b!M75</f>
        <v>4000</v>
      </c>
      <c r="AA75">
        <v>3</v>
      </c>
      <c r="AB75" s="3">
        <f>(E4b!C75-P75-(E4b!B75-O75))/(E4b!C75-E4b!B75)</f>
        <v>0</v>
      </c>
      <c r="AC75" s="3">
        <f>(E4b!D75-Q75-(E4b!C75-P75))/(E4b!D75-E4b!C75)</f>
        <v>0</v>
      </c>
      <c r="AD75" s="68">
        <f>(E4b!E75-R75-(E4b!D75-Q75))/(E4b!E75-E4b!D75)</f>
        <v>0.2037500000000014</v>
      </c>
      <c r="AE75" s="68">
        <f>(E4b!F75-S75-(E4b!E75-R75))/(E4b!F75-E4b!E75)</f>
        <v>4.9999999999999808E-2</v>
      </c>
      <c r="AF75" s="68">
        <f>(E4b!G75-T75-(E4b!F75-S75))/(E4b!G75-E4b!F75)</f>
        <v>0.15</v>
      </c>
      <c r="AG75" s="68">
        <f>(E4b!H75-U75-(E4b!G75-T75))/(E4b!H75-E4b!G75)</f>
        <v>0.1</v>
      </c>
      <c r="AH75" s="68">
        <f>(E4b!I75-V75-(E4b!H75-U75))/(E4b!I75-E4b!H75)</f>
        <v>0.2</v>
      </c>
      <c r="AI75" s="68">
        <f>(E4b!J75-W75-(E4b!I75-V75))/(E4b!J75-E4b!I75)</f>
        <v>0.15</v>
      </c>
      <c r="AJ75" s="3">
        <f>(E4b!K75-X75-(E4b!J75-W75))/(E4b!K75-E4b!J75)</f>
        <v>0.23333333333333334</v>
      </c>
      <c r="AK75" s="3">
        <f>(E4b!L75-Y75-(E4b!K75-X75))/(E4b!L75-E4b!K75)</f>
        <v>0.2</v>
      </c>
      <c r="AL75" s="3">
        <f>(E4b!M75-Z75-(E4b!L75-Y75))/(E4b!M75-E4b!L75)</f>
        <v>0.2</v>
      </c>
      <c r="AM75" s="3">
        <f>(E4b!N75-AA75-(E4b!M75-Z75))/(E4b!N75-E4b!M75)</f>
        <v>0.2006</v>
      </c>
    </row>
    <row r="76" spans="1:39" ht="15.75" customHeight="1" x14ac:dyDescent="0.25">
      <c r="A76" s="21">
        <v>2098</v>
      </c>
      <c r="B76" s="27">
        <f t="shared" si="37"/>
        <v>0</v>
      </c>
      <c r="C76" s="27">
        <f t="shared" si="38"/>
        <v>0</v>
      </c>
      <c r="D76" s="27">
        <f t="shared" si="39"/>
        <v>0</v>
      </c>
      <c r="E76" s="27">
        <f t="shared" si="40"/>
        <v>0.05</v>
      </c>
      <c r="F76" s="27">
        <f t="shared" si="41"/>
        <v>0.05</v>
      </c>
      <c r="G76" s="27">
        <f t="shared" si="42"/>
        <v>0.1</v>
      </c>
      <c r="H76" s="27">
        <f t="shared" si="43"/>
        <v>0.1</v>
      </c>
      <c r="I76" s="27">
        <f t="shared" si="44"/>
        <v>0.15</v>
      </c>
      <c r="J76" s="27">
        <f t="shared" si="45"/>
        <v>0.15</v>
      </c>
      <c r="K76" s="27">
        <f t="shared" si="46"/>
        <v>0.2</v>
      </c>
      <c r="L76" s="27">
        <f t="shared" si="47"/>
        <v>0.2</v>
      </c>
      <c r="M76" s="27">
        <f t="shared" si="48"/>
        <v>0.2</v>
      </c>
      <c r="O76">
        <f>(1-B76)*E4b!B76</f>
        <v>3</v>
      </c>
      <c r="P76">
        <f>(1-C76)*E4b!C76</f>
        <v>4</v>
      </c>
      <c r="Q76">
        <f>(1-D76)*E4b!D76</f>
        <v>6.1000000000000032</v>
      </c>
      <c r="R76">
        <f>(1-E76)*E4b!E76</f>
        <v>7.6949999999999878</v>
      </c>
      <c r="S76">
        <f>(1-F76)*E4b!F76</f>
        <v>9.5</v>
      </c>
      <c r="T76">
        <f>(1-G76)*E4b!G76</f>
        <v>18</v>
      </c>
      <c r="U76">
        <f>(1-H76)*E4b!H76</f>
        <v>45</v>
      </c>
      <c r="V76">
        <f>(1-I76)*E4b!I76</f>
        <v>85</v>
      </c>
      <c r="W76">
        <f>(1-J76)*E4b!J76</f>
        <v>170</v>
      </c>
      <c r="X76">
        <f>(1-K76)*E4b!K76</f>
        <v>400</v>
      </c>
      <c r="Y76">
        <f>(1-L76)*E4b!L76</f>
        <v>800</v>
      </c>
      <c r="Z76">
        <f>(1-M76)*E4b!M76</f>
        <v>4000</v>
      </c>
      <c r="AA76">
        <v>3</v>
      </c>
      <c r="AB76" s="3">
        <f>(E4b!C76-P76-(E4b!B76-O76))/(E4b!C76-E4b!B76)</f>
        <v>0</v>
      </c>
      <c r="AC76" s="3">
        <f>(E4b!D76-Q76-(E4b!C76-P76))/(E4b!D76-E4b!C76)</f>
        <v>0</v>
      </c>
      <c r="AD76" s="68">
        <f>(E4b!E76-R76-(E4b!D76-Q76))/(E4b!E76-E4b!D76)</f>
        <v>0.20250000000000129</v>
      </c>
      <c r="AE76" s="68">
        <f>(E4b!F76-S76-(E4b!E76-R76))/(E4b!F76-E4b!E76)</f>
        <v>0.05</v>
      </c>
      <c r="AF76" s="68">
        <f>(E4b!G76-T76-(E4b!F76-S76))/(E4b!G76-E4b!F76)</f>
        <v>0.15</v>
      </c>
      <c r="AG76" s="68">
        <f>(E4b!H76-U76-(E4b!G76-T76))/(E4b!H76-E4b!G76)</f>
        <v>0.1</v>
      </c>
      <c r="AH76" s="68">
        <f>(E4b!I76-V76-(E4b!H76-U76))/(E4b!I76-E4b!H76)</f>
        <v>0.2</v>
      </c>
      <c r="AI76" s="68">
        <f>(E4b!J76-W76-(E4b!I76-V76))/(E4b!J76-E4b!I76)</f>
        <v>0.15</v>
      </c>
      <c r="AJ76" s="3">
        <f>(E4b!K76-X76-(E4b!J76-W76))/(E4b!K76-E4b!J76)</f>
        <v>0.23333333333333334</v>
      </c>
      <c r="AK76" s="3">
        <f>(E4b!L76-Y76-(E4b!K76-X76))/(E4b!L76-E4b!K76)</f>
        <v>0.2</v>
      </c>
      <c r="AL76" s="3">
        <f>(E4b!M76-Z76-(E4b!L76-Y76))/(E4b!M76-E4b!L76)</f>
        <v>0.2</v>
      </c>
      <c r="AM76" s="3">
        <f>(E4b!N76-AA76-(E4b!M76-Z76))/(E4b!N76-E4b!M76)</f>
        <v>0.2006</v>
      </c>
    </row>
    <row r="77" spans="1:39" ht="15.75" customHeight="1" x14ac:dyDescent="0.25">
      <c r="A77" s="21">
        <v>2099</v>
      </c>
      <c r="B77" s="27">
        <f t="shared" si="37"/>
        <v>0</v>
      </c>
      <c r="C77" s="27">
        <f t="shared" si="38"/>
        <v>0</v>
      </c>
      <c r="D77" s="27">
        <f t="shared" si="39"/>
        <v>0</v>
      </c>
      <c r="E77" s="27">
        <f t="shared" si="40"/>
        <v>0.05</v>
      </c>
      <c r="F77" s="27">
        <f t="shared" si="41"/>
        <v>0.05</v>
      </c>
      <c r="G77" s="27">
        <f t="shared" si="42"/>
        <v>0.1</v>
      </c>
      <c r="H77" s="27">
        <f t="shared" si="43"/>
        <v>0.1</v>
      </c>
      <c r="I77" s="27">
        <f t="shared" si="44"/>
        <v>0.15</v>
      </c>
      <c r="J77" s="27">
        <f t="shared" si="45"/>
        <v>0.15</v>
      </c>
      <c r="K77" s="27">
        <f t="shared" si="46"/>
        <v>0.2</v>
      </c>
      <c r="L77" s="27">
        <f t="shared" si="47"/>
        <v>0.2</v>
      </c>
      <c r="M77" s="27">
        <f t="shared" si="48"/>
        <v>0.2</v>
      </c>
      <c r="O77">
        <f>(1-B77)*E4b!B77</f>
        <v>3</v>
      </c>
      <c r="P77">
        <f>(1-C77)*E4b!C77</f>
        <v>4</v>
      </c>
      <c r="Q77">
        <f>(1-D77)*E4b!D77</f>
        <v>6.0500000000000034</v>
      </c>
      <c r="R77">
        <f>(1-E77)*E4b!E77</f>
        <v>7.6474999999999866</v>
      </c>
      <c r="S77">
        <f>(1-F77)*E4b!F77</f>
        <v>9.5</v>
      </c>
      <c r="T77">
        <f>(1-G77)*E4b!G77</f>
        <v>18</v>
      </c>
      <c r="U77">
        <f>(1-H77)*E4b!H77</f>
        <v>45</v>
      </c>
      <c r="V77">
        <f>(1-I77)*E4b!I77</f>
        <v>85</v>
      </c>
      <c r="W77">
        <f>(1-J77)*E4b!J77</f>
        <v>170</v>
      </c>
      <c r="X77">
        <f>(1-K77)*E4b!K77</f>
        <v>400</v>
      </c>
      <c r="Y77">
        <f>(1-L77)*E4b!L77</f>
        <v>800</v>
      </c>
      <c r="Z77">
        <f>(1-M77)*E4b!M77</f>
        <v>4000</v>
      </c>
      <c r="AA77">
        <v>3</v>
      </c>
      <c r="AB77" s="3">
        <f>(E4b!C77-P77-(E4b!B77-O77))/(E4b!C77-E4b!B77)</f>
        <v>0</v>
      </c>
      <c r="AC77" s="3">
        <f>(E4b!D77-Q77-(E4b!C77-P77))/(E4b!D77-E4b!C77)</f>
        <v>0</v>
      </c>
      <c r="AD77" s="68">
        <f>(E4b!E77-R77-(E4b!D77-Q77))/(E4b!E77-E4b!D77)</f>
        <v>0.20125000000000162</v>
      </c>
      <c r="AE77" s="68">
        <f>(E4b!F77-S77-(E4b!E77-R77))/(E4b!F77-E4b!E77)</f>
        <v>4.9999999999999725E-2</v>
      </c>
      <c r="AF77" s="68">
        <f>(E4b!G77-T77-(E4b!F77-S77))/(E4b!G77-E4b!F77)</f>
        <v>0.15</v>
      </c>
      <c r="AG77" s="68">
        <f>(E4b!H77-U77-(E4b!G77-T77))/(E4b!H77-E4b!G77)</f>
        <v>0.1</v>
      </c>
      <c r="AH77" s="68">
        <f>(E4b!I77-V77-(E4b!H77-U77))/(E4b!I77-E4b!H77)</f>
        <v>0.2</v>
      </c>
      <c r="AI77" s="68">
        <f>(E4b!J77-W77-(E4b!I77-V77))/(E4b!J77-E4b!I77)</f>
        <v>0.15</v>
      </c>
      <c r="AJ77" s="3">
        <f>(E4b!K77-X77-(E4b!J77-W77))/(E4b!K77-E4b!J77)</f>
        <v>0.23333333333333334</v>
      </c>
      <c r="AK77" s="3">
        <f>(E4b!L77-Y77-(E4b!K77-X77))/(E4b!L77-E4b!K77)</f>
        <v>0.2</v>
      </c>
      <c r="AL77" s="3">
        <f>(E4b!M77-Z77-(E4b!L77-Y77))/(E4b!M77-E4b!L77)</f>
        <v>0.2</v>
      </c>
      <c r="AM77" s="3">
        <f>(E4b!N77-AA77-(E4b!M77-Z77))/(E4b!N77-E4b!M77)</f>
        <v>0.2006</v>
      </c>
    </row>
    <row r="78" spans="1:39" ht="15.75" customHeight="1" x14ac:dyDescent="0.25">
      <c r="A78" s="21">
        <v>2100</v>
      </c>
      <c r="B78" s="28">
        <v>0</v>
      </c>
      <c r="C78" s="28">
        <v>0</v>
      </c>
      <c r="D78" s="28">
        <v>0</v>
      </c>
      <c r="E78" s="28">
        <v>0.05</v>
      </c>
      <c r="F78" s="28">
        <v>0.05</v>
      </c>
      <c r="G78" s="28">
        <v>0.1</v>
      </c>
      <c r="H78" s="28">
        <v>0.1</v>
      </c>
      <c r="I78" s="28">
        <v>0.15</v>
      </c>
      <c r="J78" s="28">
        <v>0.15</v>
      </c>
      <c r="K78" s="28">
        <v>0.2</v>
      </c>
      <c r="L78" s="28">
        <v>0.2</v>
      </c>
      <c r="M78" s="28">
        <v>0.2</v>
      </c>
      <c r="O78">
        <f>(1-B78)*E4b!B78</f>
        <v>3</v>
      </c>
      <c r="P78">
        <f>(1-C78)*E4b!C78</f>
        <v>4</v>
      </c>
      <c r="Q78">
        <f>(1-D78)*E4b!D78</f>
        <v>6</v>
      </c>
      <c r="R78">
        <f>(1-E78)*E4b!E78</f>
        <v>7.6</v>
      </c>
      <c r="S78">
        <f>(1-F78)*E4b!F78</f>
        <v>9.5</v>
      </c>
      <c r="T78">
        <f>(1-G78)*E4b!G78</f>
        <v>18</v>
      </c>
      <c r="U78">
        <f>(1-H78)*E4b!H78</f>
        <v>45</v>
      </c>
      <c r="V78">
        <f>(1-I78)*E4b!I78</f>
        <v>85</v>
      </c>
      <c r="W78">
        <f>(1-J78)*E4b!J78</f>
        <v>170</v>
      </c>
      <c r="X78">
        <f>(1-K78)*E4b!K78</f>
        <v>400</v>
      </c>
      <c r="Y78">
        <f>(1-L78)*E4b!L78</f>
        <v>800</v>
      </c>
      <c r="Z78">
        <f>(1-M78)*E4b!M78</f>
        <v>4000</v>
      </c>
      <c r="AA78">
        <v>3</v>
      </c>
      <c r="AB78" s="3">
        <f>(E4b!C78-P78-(E4b!B78-O78))/(E4b!C78-E4b!B78)</f>
        <v>0</v>
      </c>
      <c r="AC78" s="3">
        <f>(E4b!D78-Q78-(E4b!C78-P78))/(E4b!D78-E4b!C78)</f>
        <v>0</v>
      </c>
      <c r="AD78" s="68">
        <f>(E4b!E78-R78-(E4b!D78-Q78))/(E4b!E78-E4b!D78)</f>
        <v>0.20000000000000018</v>
      </c>
      <c r="AE78" s="68">
        <f>(E4b!F78-S78-(E4b!E78-R78))/(E4b!F78-E4b!E78)</f>
        <v>4.9999999999999822E-2</v>
      </c>
      <c r="AF78" s="68">
        <f>(E4b!G78-T78-(E4b!F78-S78))/(E4b!G78-E4b!F78)</f>
        <v>0.15</v>
      </c>
      <c r="AG78" s="68">
        <f>(E4b!H78-U78-(E4b!G78-T78))/(E4b!H78-E4b!G78)</f>
        <v>0.1</v>
      </c>
      <c r="AH78" s="68">
        <f>(E4b!I78-V78-(E4b!H78-U78))/(E4b!I78-E4b!H78)</f>
        <v>0.2</v>
      </c>
      <c r="AI78" s="68">
        <f>(E4b!J78-W78-(E4b!I78-V78))/(E4b!J78-E4b!I78)</f>
        <v>0.15</v>
      </c>
      <c r="AJ78" s="3">
        <f>(E4b!K78-X78-(E4b!J78-W78))/(E4b!K78-E4b!J78)</f>
        <v>0.23333333333333334</v>
      </c>
      <c r="AK78" s="3">
        <f>(E4b!L78-Y78-(E4b!K78-X78))/(E4b!L78-E4b!K78)</f>
        <v>0.2</v>
      </c>
      <c r="AL78" s="3">
        <f>(E4b!M78-Z78-(E4b!L78-Y78))/(E4b!M78-E4b!L78)</f>
        <v>0.2</v>
      </c>
      <c r="AM78" s="3">
        <f>(E4b!N78-AA78-(E4b!M78-Z78))/(E4b!N78-E4b!M78)</f>
        <v>0.2006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1F955"/>
  </sheetPr>
  <dimension ref="A1:AM79"/>
  <sheetViews>
    <sheetView workbookViewId="0">
      <pane xSplit="1" ySplit="3" topLeftCell="B63" activePane="bottomRight" state="frozen"/>
      <selection activeCell="F79" sqref="F79"/>
      <selection pane="topRight" activeCell="F79" sqref="F79"/>
      <selection pane="bottomLeft" activeCell="F79" sqref="F79"/>
      <selection pane="bottomRight" activeCell="O55" sqref="O28:P55"/>
    </sheetView>
  </sheetViews>
  <sheetFormatPr baseColWidth="10" defaultColWidth="11.42578125" defaultRowHeight="15" x14ac:dyDescent="0.25"/>
  <cols>
    <col min="1" max="1" width="15" customWidth="1"/>
    <col min="2" max="2" width="12.7109375" customWidth="1"/>
    <col min="15" max="17" width="11.5703125" bestFit="1" customWidth="1"/>
    <col min="18" max="19" width="12.5703125" bestFit="1" customWidth="1"/>
  </cols>
  <sheetData>
    <row r="1" spans="1:39" ht="15.75" customHeight="1" x14ac:dyDescent="0.25">
      <c r="A1" s="1" t="s">
        <v>69</v>
      </c>
      <c r="B1" s="1"/>
      <c r="C1" s="1"/>
      <c r="D1" s="1"/>
      <c r="E1" s="1"/>
      <c r="F1" s="1"/>
      <c r="G1" s="1"/>
      <c r="H1" s="1"/>
      <c r="I1" s="1"/>
      <c r="J1" s="1"/>
      <c r="K1" s="1"/>
      <c r="L1" s="1"/>
      <c r="M1" s="1"/>
      <c r="N1" s="1"/>
      <c r="O1" s="1" t="s">
        <v>32</v>
      </c>
      <c r="P1" s="1"/>
      <c r="AB1" t="s">
        <v>33</v>
      </c>
    </row>
    <row r="2" spans="1:39" ht="15.75" customHeight="1" x14ac:dyDescent="0.25">
      <c r="A2" s="1"/>
      <c r="B2" s="1"/>
      <c r="C2" s="1"/>
      <c r="D2" s="1"/>
      <c r="E2" s="1"/>
      <c r="F2" s="1"/>
      <c r="G2" s="1"/>
      <c r="H2" s="1"/>
      <c r="I2" s="1"/>
      <c r="J2" s="1"/>
      <c r="K2" s="1"/>
      <c r="L2" s="1"/>
      <c r="M2" s="1"/>
      <c r="N2" s="1"/>
      <c r="O2" s="1"/>
      <c r="P2" s="1"/>
      <c r="AA2" t="s">
        <v>34</v>
      </c>
    </row>
    <row r="3" spans="1:39" ht="15.75" customHeight="1" x14ac:dyDescent="0.25">
      <c r="A3" s="21" t="s">
        <v>18</v>
      </c>
      <c r="B3" s="21" t="s">
        <v>70</v>
      </c>
      <c r="C3" s="21" t="s">
        <v>71</v>
      </c>
      <c r="D3" s="21" t="s">
        <v>72</v>
      </c>
      <c r="E3" s="21" t="s">
        <v>73</v>
      </c>
      <c r="F3" s="21" t="s">
        <v>74</v>
      </c>
      <c r="G3" s="21" t="s">
        <v>75</v>
      </c>
      <c r="H3" s="21" t="s">
        <v>76</v>
      </c>
      <c r="I3" s="21" t="s">
        <v>77</v>
      </c>
      <c r="J3" s="21" t="s">
        <v>78</v>
      </c>
      <c r="K3" s="21" t="s">
        <v>79</v>
      </c>
      <c r="L3" s="21" t="s">
        <v>80</v>
      </c>
      <c r="M3" s="21" t="s">
        <v>81</v>
      </c>
      <c r="N3" s="21"/>
      <c r="O3" s="21"/>
      <c r="P3" s="1"/>
    </row>
    <row r="4" spans="1:39" ht="15.75" customHeight="1" x14ac:dyDescent="0.25">
      <c r="A4" s="21">
        <v>2026</v>
      </c>
      <c r="B4" s="29">
        <f>TE5f!$C7</f>
        <v>0</v>
      </c>
      <c r="C4" s="29">
        <f>TE5f!$C8</f>
        <v>0</v>
      </c>
      <c r="D4" s="29">
        <f>TE5f!$C9</f>
        <v>0.05</v>
      </c>
      <c r="E4" s="29">
        <f>TE5f!$C10</f>
        <v>0.1</v>
      </c>
      <c r="F4" s="29">
        <f>TE5f!$C11</f>
        <v>0.15</v>
      </c>
      <c r="G4" s="29">
        <f>TE5f!$C12</f>
        <v>0.2</v>
      </c>
      <c r="H4" s="29">
        <f>TE5f!$C13</f>
        <v>0.4</v>
      </c>
      <c r="I4" s="29">
        <f>TE5f!$C14</f>
        <v>0.5</v>
      </c>
      <c r="J4" s="29">
        <f>TE5f!$C15</f>
        <v>0.6</v>
      </c>
      <c r="K4" s="29">
        <f>TE5f!$C16</f>
        <v>0.7</v>
      </c>
      <c r="L4" s="29">
        <f>TE5f!$C17</f>
        <v>0.8</v>
      </c>
      <c r="M4" s="29">
        <f>TE5f!$C18</f>
        <v>0.9</v>
      </c>
      <c r="N4" s="29"/>
      <c r="O4">
        <f>(1-B4)*E4b!B4</f>
        <v>5</v>
      </c>
      <c r="P4">
        <f>(1-C4)*E5b!C4</f>
        <v>7</v>
      </c>
      <c r="Q4">
        <f>(1-D4)*E5b!D4</f>
        <v>9.5</v>
      </c>
      <c r="R4">
        <f>(1-E4)*E5b!E4</f>
        <v>10.8</v>
      </c>
      <c r="S4">
        <f>(1-F4)*E5b!F4</f>
        <v>12.75</v>
      </c>
      <c r="T4">
        <f>(1-G4)*E5b!G4</f>
        <v>16</v>
      </c>
      <c r="U4">
        <f>(1-H4)*E5b!H4</f>
        <v>30</v>
      </c>
      <c r="V4">
        <f>(1-I4)*E5b!I4</f>
        <v>50</v>
      </c>
      <c r="W4">
        <f>(1-J4)*E5b!J4</f>
        <v>80</v>
      </c>
      <c r="X4">
        <f>(1-K4)*E5b!K4</f>
        <v>150.00000000000003</v>
      </c>
      <c r="Y4">
        <f>(1-L4)*E5b!L4</f>
        <v>199.99999999999994</v>
      </c>
      <c r="Z4">
        <f>(1-M4)*E5b!M4</f>
        <v>499.99999999999989</v>
      </c>
      <c r="AB4" s="3">
        <f>(E5b!C4-P4-(E5b!B4-O4))/(E5b!C4-E5b!B4)</f>
        <v>0</v>
      </c>
      <c r="AC4" s="3">
        <f>(E5b!D4-Q4-(E5b!C4-P4))/(E5b!D4-E5b!C4)</f>
        <v>0.16666666666666666</v>
      </c>
      <c r="AD4" s="3">
        <f>(E5b!E4-R4-(E5b!D4-Q4))/(E5b!E4-E5b!D4)</f>
        <v>0.34999999999999964</v>
      </c>
      <c r="AE4" s="3">
        <f>(E5b!F4-S4-(E5b!E4-R4))/(E5b!F4-E5b!E4)</f>
        <v>0.35000000000000026</v>
      </c>
      <c r="AF4" s="3">
        <f>(E5b!G4-T4-(E5b!F4-S4))/(E5b!G4-E5b!F4)</f>
        <v>0.35</v>
      </c>
      <c r="AG4" s="3">
        <f>(E5b!H4-U4-(E5b!G4-T4))/(E5b!H4-E5b!G4)</f>
        <v>0.53333333333333333</v>
      </c>
      <c r="AH4" s="3">
        <f>(E5b!I4-V4-(E5b!H4-U4))/(E5b!I4-E5b!H4)</f>
        <v>0.6</v>
      </c>
      <c r="AI4" s="3">
        <f>(E5b!J4-W4-(E5b!I4-V4))/(E5b!J4-E5b!I4)</f>
        <v>0.7</v>
      </c>
      <c r="AJ4" s="3">
        <f>(E5b!K4-X4-(E5b!J4-W4))/(E5b!K4-E5b!J4)</f>
        <v>0.76666666666666672</v>
      </c>
      <c r="AK4" s="3">
        <f>(E5b!L4-Y4-(E5b!K4-X4))/(E5b!L4-E5b!K4)</f>
        <v>0.9</v>
      </c>
      <c r="AL4" s="3">
        <f>(E5b!M4-Z4-(E5b!L4-Y4))/(E5b!M4-E5b!L4)</f>
        <v>0.92500000000000004</v>
      </c>
      <c r="AM4" s="3"/>
    </row>
    <row r="5" spans="1:39" ht="15.75" customHeight="1" x14ac:dyDescent="0.25">
      <c r="A5" s="21">
        <v>2027</v>
      </c>
      <c r="B5" s="22">
        <f t="shared" ref="B5:M12" si="0">B4+(B$13-B$4)/9</f>
        <v>0</v>
      </c>
      <c r="C5" s="22">
        <f t="shared" si="0"/>
        <v>0</v>
      </c>
      <c r="D5" s="22">
        <f t="shared" si="0"/>
        <v>6.1111111111111116E-2</v>
      </c>
      <c r="E5" s="22">
        <f t="shared" si="0"/>
        <v>0.11111111111111112</v>
      </c>
      <c r="F5" s="22">
        <f t="shared" si="0"/>
        <v>0.16111111111111109</v>
      </c>
      <c r="G5" s="22">
        <f t="shared" si="0"/>
        <v>0.21111111111111111</v>
      </c>
      <c r="H5" s="22">
        <f t="shared" si="0"/>
        <v>0.4</v>
      </c>
      <c r="I5" s="22">
        <f t="shared" si="0"/>
        <v>0.5</v>
      </c>
      <c r="J5" s="22">
        <f t="shared" si="0"/>
        <v>0.6</v>
      </c>
      <c r="K5" s="22">
        <f t="shared" si="0"/>
        <v>0.7</v>
      </c>
      <c r="L5" s="22">
        <f t="shared" si="0"/>
        <v>0.8</v>
      </c>
      <c r="M5" s="22">
        <f t="shared" si="0"/>
        <v>0.9</v>
      </c>
      <c r="N5" s="22"/>
      <c r="O5" s="2">
        <f>(1-B5)*E5b!B5</f>
        <v>4.8888888888888893</v>
      </c>
      <c r="P5" s="2">
        <f>(1-C5)*E5b!C5</f>
        <v>6.8888888888888893</v>
      </c>
      <c r="Q5" s="2">
        <f>(1-D5)*E5b!D5</f>
        <v>9.1802469135802482</v>
      </c>
      <c r="R5" s="2">
        <f>(1-E5)*E5b!E5</f>
        <v>10.469135802469136</v>
      </c>
      <c r="S5" s="2">
        <f>(1-F5)*E5b!F5</f>
        <v>12.583333333333334</v>
      </c>
      <c r="T5">
        <f>(1-G5)*E5b!G5</f>
        <v>15.777777777777777</v>
      </c>
      <c r="U5">
        <f>(1-H5)*E5b!H5</f>
        <v>30</v>
      </c>
      <c r="V5">
        <f>(1-I5)*E5b!I5</f>
        <v>50</v>
      </c>
      <c r="W5">
        <f>(1-J5)*E5b!J5</f>
        <v>80</v>
      </c>
      <c r="X5">
        <f>(1-K5)*E5b!K5</f>
        <v>150.00000000000003</v>
      </c>
      <c r="Y5">
        <f>(1-L5)*E5b!L5</f>
        <v>199.99999999999994</v>
      </c>
      <c r="Z5">
        <f>(1-M5)*E5b!M5</f>
        <v>499.99999999999989</v>
      </c>
      <c r="AA5">
        <v>1</v>
      </c>
      <c r="AB5" s="3">
        <f>(E5b!C5-P5-(E5b!B5-O5))/(E5b!C5-E5b!B5)</f>
        <v>0</v>
      </c>
      <c r="AC5" s="3">
        <f>(E5b!D5-Q5-(E5b!C5-P5))/(E5b!D5-E5b!C5)</f>
        <v>0.20683760683760663</v>
      </c>
      <c r="AD5" s="68">
        <f>(E5b!E5-R5-(E5b!D5-Q5))/(E5b!E5-E5b!D5)</f>
        <v>0.35555555555555607</v>
      </c>
      <c r="AE5" s="68">
        <f>(E5b!F5-S5-(E5b!E5-R5))/(E5b!F5-E5b!E5)</f>
        <v>0.34386973180076602</v>
      </c>
      <c r="AF5" s="3">
        <f>(E5b!G5-T5-(E5b!F5-S5))/(E5b!G5-E5b!F5)</f>
        <v>0.36111111111111144</v>
      </c>
      <c r="AG5" s="3">
        <f>(E5b!H5-U5-(E5b!G5-T5))/(E5b!H5-E5b!G5)</f>
        <v>0.52592592592592591</v>
      </c>
      <c r="AH5" s="3">
        <f>(E5b!I5-V5-(E5b!H5-U5))/(E5b!I5-E5b!H5)</f>
        <v>0.6</v>
      </c>
      <c r="AI5" s="3">
        <f>(E5b!J5-W5-(E5b!I5-V5))/(E5b!J5-E5b!I5)</f>
        <v>0.7</v>
      </c>
      <c r="AJ5" s="3">
        <f>(E5b!K5-X5-(E5b!J5-W5))/(E5b!K5-E5b!J5)</f>
        <v>0.76666666666666672</v>
      </c>
      <c r="AK5" s="3">
        <f>(E5b!L5-Y5-(E5b!K5-X5))/(E5b!L5-E5b!K5)</f>
        <v>0.9</v>
      </c>
      <c r="AL5" s="3">
        <f>(E5b!M5-Z5-(E5b!L5-Y5))/(E5b!M5-E5b!L5)</f>
        <v>0.92500000000000004</v>
      </c>
    </row>
    <row r="6" spans="1:39" ht="15.75" customHeight="1" x14ac:dyDescent="0.25">
      <c r="A6" s="21">
        <v>2028</v>
      </c>
      <c r="B6" s="22">
        <f t="shared" si="0"/>
        <v>0</v>
      </c>
      <c r="C6" s="22">
        <f t="shared" si="0"/>
        <v>0</v>
      </c>
      <c r="D6" s="22">
        <f t="shared" si="0"/>
        <v>7.2222222222222229E-2</v>
      </c>
      <c r="E6" s="22">
        <f t="shared" si="0"/>
        <v>0.12222222222222223</v>
      </c>
      <c r="F6" s="22">
        <f t="shared" si="0"/>
        <v>0.17222222222222219</v>
      </c>
      <c r="G6" s="22">
        <f t="shared" si="0"/>
        <v>0.22222222222222221</v>
      </c>
      <c r="H6" s="22">
        <f t="shared" si="0"/>
        <v>0.4</v>
      </c>
      <c r="I6" s="22">
        <f t="shared" si="0"/>
        <v>0.5</v>
      </c>
      <c r="J6" s="22">
        <f t="shared" si="0"/>
        <v>0.6</v>
      </c>
      <c r="K6" s="22">
        <f t="shared" si="0"/>
        <v>0.7</v>
      </c>
      <c r="L6" s="22">
        <f t="shared" si="0"/>
        <v>0.8</v>
      </c>
      <c r="M6" s="22">
        <f t="shared" si="0"/>
        <v>0.9</v>
      </c>
      <c r="N6" s="22"/>
      <c r="O6" s="2">
        <f>(1-B6)*E5b!B6</f>
        <v>4.7777777777777786</v>
      </c>
      <c r="P6" s="2">
        <f>(1-C6)*E5b!C6</f>
        <v>6.7777777777777786</v>
      </c>
      <c r="Q6" s="2">
        <f>(1-D6)*E5b!D6</f>
        <v>8.8654320987654334</v>
      </c>
      <c r="R6" s="2">
        <f>(1-E6)*E5b!E6</f>
        <v>10.143209876543212</v>
      </c>
      <c r="S6" s="2">
        <f>(1-F6)*E5b!F6</f>
        <v>12.416666666666668</v>
      </c>
      <c r="T6">
        <f>(1-G6)*E5b!G6</f>
        <v>15.555555555555555</v>
      </c>
      <c r="U6">
        <f>(1-H6)*E5b!H6</f>
        <v>30</v>
      </c>
      <c r="V6">
        <f>(1-I6)*E5b!I6</f>
        <v>50</v>
      </c>
      <c r="W6">
        <f>(1-J6)*E5b!J6</f>
        <v>80</v>
      </c>
      <c r="X6">
        <f>(1-K6)*E5b!K6</f>
        <v>150.00000000000003</v>
      </c>
      <c r="Y6">
        <f>(1-L6)*E5b!L6</f>
        <v>199.99999999999994</v>
      </c>
      <c r="Z6">
        <f>(1-M6)*E5b!M6</f>
        <v>499.99999999999989</v>
      </c>
      <c r="AA6">
        <v>1</v>
      </c>
      <c r="AB6" s="3">
        <f>(E5b!C6-P6-(E5b!B6-O6))/(E5b!C6-E5b!B6)</f>
        <v>0</v>
      </c>
      <c r="AC6" s="3">
        <f>(E5b!D6-Q6-(E5b!C6-P6))/(E5b!D6-E5b!C6)</f>
        <v>0.2484444444444445</v>
      </c>
      <c r="AD6" s="68">
        <f>(E5b!E6-R6-(E5b!D6-Q6))/(E5b!E6-E5b!D6)</f>
        <v>0.36111111111111072</v>
      </c>
      <c r="AE6" s="68">
        <f>(E5b!F6-S6-(E5b!E6-R6))/(E5b!F6-E5b!E6)</f>
        <v>0.33996415770609312</v>
      </c>
      <c r="AF6" s="3">
        <f>(E5b!G6-T6-(E5b!F6-S6))/(E5b!G6-E5b!F6)</f>
        <v>0.37222222222222251</v>
      </c>
      <c r="AG6" s="3">
        <f>(E5b!H6-U6-(E5b!G6-T6))/(E5b!H6-E5b!G6)</f>
        <v>0.51851851851851849</v>
      </c>
      <c r="AH6" s="3">
        <f>(E5b!I6-V6-(E5b!H6-U6))/(E5b!I6-E5b!H6)</f>
        <v>0.6</v>
      </c>
      <c r="AI6" s="3">
        <f>(E5b!J6-W6-(E5b!I6-V6))/(E5b!J6-E5b!I6)</f>
        <v>0.7</v>
      </c>
      <c r="AJ6" s="3">
        <f>(E5b!K6-X6-(E5b!J6-W6))/(E5b!K6-E5b!J6)</f>
        <v>0.76666666666666672</v>
      </c>
      <c r="AK6" s="3">
        <f>(E5b!L6-Y6-(E5b!K6-X6))/(E5b!L6-E5b!K6)</f>
        <v>0.9</v>
      </c>
      <c r="AL6" s="3">
        <f>(E5b!M6-Z6-(E5b!L6-Y6))/(E5b!M6-E5b!L6)</f>
        <v>0.92500000000000004</v>
      </c>
    </row>
    <row r="7" spans="1:39" ht="15.75" customHeight="1" x14ac:dyDescent="0.25">
      <c r="A7" s="21">
        <v>2029</v>
      </c>
      <c r="B7" s="22">
        <f t="shared" si="0"/>
        <v>0</v>
      </c>
      <c r="C7" s="22">
        <f t="shared" si="0"/>
        <v>0</v>
      </c>
      <c r="D7" s="22">
        <f t="shared" si="0"/>
        <v>8.3333333333333343E-2</v>
      </c>
      <c r="E7" s="22">
        <f t="shared" si="0"/>
        <v>0.13333333333333333</v>
      </c>
      <c r="F7" s="22">
        <f t="shared" si="0"/>
        <v>0.18333333333333329</v>
      </c>
      <c r="G7" s="22">
        <f t="shared" si="0"/>
        <v>0.23333333333333331</v>
      </c>
      <c r="H7" s="22">
        <f t="shared" si="0"/>
        <v>0.4</v>
      </c>
      <c r="I7" s="22">
        <f t="shared" si="0"/>
        <v>0.5</v>
      </c>
      <c r="J7" s="22">
        <f t="shared" si="0"/>
        <v>0.6</v>
      </c>
      <c r="K7" s="22">
        <f t="shared" si="0"/>
        <v>0.7</v>
      </c>
      <c r="L7" s="22">
        <f t="shared" si="0"/>
        <v>0.8</v>
      </c>
      <c r="M7" s="22">
        <f t="shared" si="0"/>
        <v>0.9</v>
      </c>
      <c r="N7" s="22"/>
      <c r="O7" s="2">
        <f>(1-B7)*E5b!B7</f>
        <v>4.6666666666666679</v>
      </c>
      <c r="P7" s="2">
        <f>(1-C7)*E5b!C7</f>
        <v>6.6666666666666679</v>
      </c>
      <c r="Q7" s="2">
        <f>(1-D7)*E5b!D7</f>
        <v>8.5555555555555571</v>
      </c>
      <c r="R7" s="2">
        <f>(1-E7)*E5b!E7</f>
        <v>9.8222222222222246</v>
      </c>
      <c r="S7" s="2">
        <f>(1-F7)*E5b!F7</f>
        <v>12.25</v>
      </c>
      <c r="T7">
        <f>(1-G7)*E5b!G7</f>
        <v>15.333333333333334</v>
      </c>
      <c r="U7">
        <f>(1-H7)*E5b!H7</f>
        <v>30</v>
      </c>
      <c r="V7">
        <f>(1-I7)*E5b!I7</f>
        <v>50</v>
      </c>
      <c r="W7">
        <f>(1-J7)*E5b!J7</f>
        <v>80</v>
      </c>
      <c r="X7">
        <f>(1-K7)*E5b!K7</f>
        <v>150.00000000000003</v>
      </c>
      <c r="Y7">
        <f>(1-L7)*E5b!L7</f>
        <v>199.99999999999994</v>
      </c>
      <c r="Z7">
        <f>(1-M7)*E5b!M7</f>
        <v>499.99999999999989</v>
      </c>
      <c r="AA7">
        <v>1</v>
      </c>
      <c r="AB7" s="3">
        <f>(E5b!C7-P7-(E5b!B7-O7))/(E5b!C7-E5b!B7)</f>
        <v>0</v>
      </c>
      <c r="AC7" s="3">
        <f>(E5b!D7-Q7-(E5b!C7-P7))/(E5b!D7-E5b!C7)</f>
        <v>0.29166666666666685</v>
      </c>
      <c r="AD7" s="68">
        <f>(E5b!E7-R7-(E5b!D7-Q7))/(E5b!E7-E5b!D7)</f>
        <v>0.36666666666666625</v>
      </c>
      <c r="AE7" s="68">
        <f>(E5b!F7-S7-(E5b!E7-R7))/(E5b!F7-E5b!E7)</f>
        <v>0.33787878787878811</v>
      </c>
      <c r="AF7" s="3">
        <f>(E5b!G7-T7-(E5b!F7-S7))/(E5b!G7-E5b!F7)</f>
        <v>0.38333333333333319</v>
      </c>
      <c r="AG7" s="3">
        <f>(E5b!H7-U7-(E5b!G7-T7))/(E5b!H7-E5b!G7)</f>
        <v>0.51111111111111118</v>
      </c>
      <c r="AH7" s="3">
        <f>(E5b!I7-V7-(E5b!H7-U7))/(E5b!I7-E5b!H7)</f>
        <v>0.6</v>
      </c>
      <c r="AI7" s="3">
        <f>(E5b!J7-W7-(E5b!I7-V7))/(E5b!J7-E5b!I7)</f>
        <v>0.7</v>
      </c>
      <c r="AJ7" s="3">
        <f>(E5b!K7-X7-(E5b!J7-W7))/(E5b!K7-E5b!J7)</f>
        <v>0.76666666666666672</v>
      </c>
      <c r="AK7" s="3">
        <f>(E5b!L7-Y7-(E5b!K7-X7))/(E5b!L7-E5b!K7)</f>
        <v>0.9</v>
      </c>
      <c r="AL7" s="3">
        <f>(E5b!M7-Z7-(E5b!L7-Y7))/(E5b!M7-E5b!L7)</f>
        <v>0.92500000000000004</v>
      </c>
    </row>
    <row r="8" spans="1:39" ht="15.75" customHeight="1" x14ac:dyDescent="0.25">
      <c r="A8" s="21">
        <v>2030</v>
      </c>
      <c r="B8" s="22">
        <f t="shared" si="0"/>
        <v>0</v>
      </c>
      <c r="C8" s="22">
        <f t="shared" si="0"/>
        <v>0</v>
      </c>
      <c r="D8" s="22">
        <f t="shared" si="0"/>
        <v>9.4444444444444456E-2</v>
      </c>
      <c r="E8" s="22">
        <f t="shared" si="0"/>
        <v>0.14444444444444443</v>
      </c>
      <c r="F8" s="22">
        <f t="shared" si="0"/>
        <v>0.19444444444444439</v>
      </c>
      <c r="G8" s="22">
        <f t="shared" si="0"/>
        <v>0.24444444444444441</v>
      </c>
      <c r="H8" s="22">
        <f t="shared" si="0"/>
        <v>0.4</v>
      </c>
      <c r="I8" s="22">
        <f t="shared" si="0"/>
        <v>0.5</v>
      </c>
      <c r="J8" s="22">
        <f t="shared" si="0"/>
        <v>0.6</v>
      </c>
      <c r="K8" s="22">
        <f t="shared" si="0"/>
        <v>0.7</v>
      </c>
      <c r="L8" s="22">
        <f t="shared" si="0"/>
        <v>0.8</v>
      </c>
      <c r="M8" s="22">
        <f t="shared" si="0"/>
        <v>0.9</v>
      </c>
      <c r="N8" s="22"/>
      <c r="O8" s="2">
        <f>(1-B8)*E5b!B8</f>
        <v>4.5555555555555571</v>
      </c>
      <c r="P8" s="2">
        <f>(1-C8)*E5b!C8</f>
        <v>6.5555555555555571</v>
      </c>
      <c r="Q8" s="2">
        <f>(1-D8)*E5b!D8</f>
        <v>8.2506172839506196</v>
      </c>
      <c r="R8" s="2">
        <f>(1-E8)*E5b!E8</f>
        <v>9.506172839506176</v>
      </c>
      <c r="S8" s="2">
        <f>(1-F8)*E5b!F8</f>
        <v>12.083333333333334</v>
      </c>
      <c r="T8">
        <f>(1-G8)*E5b!G8</f>
        <v>15.111111111111111</v>
      </c>
      <c r="U8">
        <f>(1-H8)*E5b!H8</f>
        <v>30</v>
      </c>
      <c r="V8">
        <f>(1-I8)*E5b!I8</f>
        <v>50</v>
      </c>
      <c r="W8">
        <f>(1-J8)*E5b!J8</f>
        <v>80</v>
      </c>
      <c r="X8">
        <f>(1-K8)*E5b!K8</f>
        <v>150.00000000000003</v>
      </c>
      <c r="Y8">
        <f>(1-L8)*E5b!L8</f>
        <v>199.99999999999994</v>
      </c>
      <c r="Z8">
        <f>(1-M8)*E5b!M8</f>
        <v>499.99999999999989</v>
      </c>
      <c r="AA8">
        <v>1</v>
      </c>
      <c r="AB8" s="3">
        <f>(E5b!C8-P8-(E5b!B8-O8))/(E5b!C8-E5b!B8)</f>
        <v>0</v>
      </c>
      <c r="AC8" s="3">
        <f>(E5b!D8-Q8-(E5b!C8-P8))/(E5b!D8-E5b!C8)</f>
        <v>0.33671497584541077</v>
      </c>
      <c r="AD8" s="68">
        <f>(E5b!E8-R8-(E5b!D8-Q8))/(E5b!E8-E5b!D8)</f>
        <v>0.37222222222222179</v>
      </c>
      <c r="AE8" s="68">
        <f>(E5b!F8-S8-(E5b!E8-R8))/(E5b!F8-E5b!E8)</f>
        <v>0.33730158730158744</v>
      </c>
      <c r="AF8" s="3">
        <f>(E5b!G8-T8-(E5b!F8-S8))/(E5b!G8-E5b!F8)</f>
        <v>0.39444444444444465</v>
      </c>
      <c r="AG8" s="3">
        <f>(E5b!H8-U8-(E5b!G8-T8))/(E5b!H8-E5b!G8)</f>
        <v>0.50370370370370365</v>
      </c>
      <c r="AH8" s="3">
        <f>(E5b!I8-V8-(E5b!H8-U8))/(E5b!I8-E5b!H8)</f>
        <v>0.6</v>
      </c>
      <c r="AI8" s="3">
        <f>(E5b!J8-W8-(E5b!I8-V8))/(E5b!J8-E5b!I8)</f>
        <v>0.7</v>
      </c>
      <c r="AJ8" s="3">
        <f>(E5b!K8-X8-(E5b!J8-W8))/(E5b!K8-E5b!J8)</f>
        <v>0.76666666666666672</v>
      </c>
      <c r="AK8" s="3">
        <f>(E5b!L8-Y8-(E5b!K8-X8))/(E5b!L8-E5b!K8)</f>
        <v>0.9</v>
      </c>
      <c r="AL8" s="3">
        <f>(E5b!M8-Z8-(E5b!L8-Y8))/(E5b!M8-E5b!L8)</f>
        <v>0.92500000000000004</v>
      </c>
    </row>
    <row r="9" spans="1:39" ht="15.75" customHeight="1" x14ac:dyDescent="0.25">
      <c r="A9" s="21">
        <v>2031</v>
      </c>
      <c r="B9" s="22">
        <f t="shared" si="0"/>
        <v>0</v>
      </c>
      <c r="C9" s="22">
        <f t="shared" si="0"/>
        <v>0</v>
      </c>
      <c r="D9" s="22">
        <f t="shared" si="0"/>
        <v>0.10555555555555557</v>
      </c>
      <c r="E9" s="22">
        <f t="shared" si="0"/>
        <v>0.15555555555555553</v>
      </c>
      <c r="F9" s="22">
        <f t="shared" si="0"/>
        <v>0.20555555555555549</v>
      </c>
      <c r="G9" s="22">
        <f t="shared" si="0"/>
        <v>0.25555555555555554</v>
      </c>
      <c r="H9" s="22">
        <f t="shared" si="0"/>
        <v>0.4</v>
      </c>
      <c r="I9" s="22">
        <f t="shared" si="0"/>
        <v>0.5</v>
      </c>
      <c r="J9" s="22">
        <f t="shared" si="0"/>
        <v>0.6</v>
      </c>
      <c r="K9" s="22">
        <f t="shared" si="0"/>
        <v>0.7</v>
      </c>
      <c r="L9" s="22">
        <f t="shared" si="0"/>
        <v>0.8</v>
      </c>
      <c r="M9" s="22">
        <f t="shared" si="0"/>
        <v>0.9</v>
      </c>
      <c r="N9" s="22"/>
      <c r="O9" s="2">
        <f>(1-B9)*E5b!B9</f>
        <v>4.4444444444444464</v>
      </c>
      <c r="P9" s="2">
        <f>(1-C9)*E5b!C9</f>
        <v>6.4444444444444464</v>
      </c>
      <c r="Q9" s="2">
        <f>(1-D9)*E5b!D9</f>
        <v>7.9506172839506206</v>
      </c>
      <c r="R9" s="2">
        <f>(1-E9)*E5b!E9</f>
        <v>9.1950617283950642</v>
      </c>
      <c r="S9" s="2">
        <f>(1-F9)*E5b!F9</f>
        <v>11.916666666666668</v>
      </c>
      <c r="T9">
        <f>(1-G9)*E5b!G9</f>
        <v>14.888888888888889</v>
      </c>
      <c r="U9">
        <f>(1-H9)*E5b!H9</f>
        <v>30</v>
      </c>
      <c r="V9">
        <f>(1-I9)*E5b!I9</f>
        <v>50</v>
      </c>
      <c r="W9">
        <f>(1-J9)*E5b!J9</f>
        <v>80</v>
      </c>
      <c r="X9">
        <f>(1-K9)*E5b!K9</f>
        <v>150.00000000000003</v>
      </c>
      <c r="Y9">
        <f>(1-L9)*E5b!L9</f>
        <v>199.99999999999994</v>
      </c>
      <c r="Z9">
        <f>(1-M9)*E5b!M9</f>
        <v>499.99999999999989</v>
      </c>
      <c r="AA9">
        <v>1</v>
      </c>
      <c r="AB9" s="3">
        <f>(E5b!C9-P9-(E5b!B9-O9))/(E5b!C9-E5b!B9)</f>
        <v>0</v>
      </c>
      <c r="AC9" s="3">
        <f>(E5b!D9-Q9-(E5b!C9-P9))/(E5b!D9-E5b!C9)</f>
        <v>0.38383838383838376</v>
      </c>
      <c r="AD9" s="68">
        <f>(E5b!E9-R9-(E5b!D9-Q9))/(E5b!E9-E5b!D9)</f>
        <v>0.37777777777777821</v>
      </c>
      <c r="AE9" s="68">
        <f>(E5b!F9-S9-(E5b!E9-R9))/(E5b!F9-E5b!E9)</f>
        <v>0.33798798798798768</v>
      </c>
      <c r="AF9" s="3">
        <f>(E5b!G9-T9-(E5b!F9-S9))/(E5b!G9-E5b!F9)</f>
        <v>0.40555555555555572</v>
      </c>
      <c r="AG9" s="3">
        <f>(E5b!H9-U9-(E5b!G9-T9))/(E5b!H9-E5b!G9)</f>
        <v>0.49629629629629629</v>
      </c>
      <c r="AH9" s="3">
        <f>(E5b!I9-V9-(E5b!H9-U9))/(E5b!I9-E5b!H9)</f>
        <v>0.6</v>
      </c>
      <c r="AI9" s="3">
        <f>(E5b!J9-W9-(E5b!I9-V9))/(E5b!J9-E5b!I9)</f>
        <v>0.7</v>
      </c>
      <c r="AJ9" s="3">
        <f>(E5b!K9-X9-(E5b!J9-W9))/(E5b!K9-E5b!J9)</f>
        <v>0.76666666666666672</v>
      </c>
      <c r="AK9" s="3">
        <f>(E5b!L9-Y9-(E5b!K9-X9))/(E5b!L9-E5b!K9)</f>
        <v>0.9</v>
      </c>
      <c r="AL9" s="3">
        <f>(E5b!M9-Z9-(E5b!L9-Y9))/(E5b!M9-E5b!L9)</f>
        <v>0.92500000000000004</v>
      </c>
    </row>
    <row r="10" spans="1:39" ht="15.75" customHeight="1" x14ac:dyDescent="0.25">
      <c r="A10" s="21">
        <v>2032</v>
      </c>
      <c r="B10" s="22">
        <f t="shared" si="0"/>
        <v>0</v>
      </c>
      <c r="C10" s="22">
        <f t="shared" si="0"/>
        <v>0</v>
      </c>
      <c r="D10" s="22">
        <f t="shared" si="0"/>
        <v>0.11666666666666668</v>
      </c>
      <c r="E10" s="22">
        <f t="shared" si="0"/>
        <v>0.16666666666666663</v>
      </c>
      <c r="F10" s="22">
        <f t="shared" si="0"/>
        <v>0.21666666666666659</v>
      </c>
      <c r="G10" s="22">
        <f t="shared" si="0"/>
        <v>0.26666666666666666</v>
      </c>
      <c r="H10" s="22">
        <f t="shared" si="0"/>
        <v>0.4</v>
      </c>
      <c r="I10" s="22">
        <f t="shared" si="0"/>
        <v>0.5</v>
      </c>
      <c r="J10" s="22">
        <f t="shared" si="0"/>
        <v>0.6</v>
      </c>
      <c r="K10" s="22">
        <f t="shared" si="0"/>
        <v>0.7</v>
      </c>
      <c r="L10" s="22">
        <f t="shared" si="0"/>
        <v>0.8</v>
      </c>
      <c r="M10" s="22">
        <f t="shared" si="0"/>
        <v>0.9</v>
      </c>
      <c r="N10" s="22"/>
      <c r="O10" s="2">
        <f>(1-B10)*E5b!B10</f>
        <v>4.3333333333333357</v>
      </c>
      <c r="P10" s="2">
        <f>(1-C10)*E5b!C10</f>
        <v>6.3333333333333357</v>
      </c>
      <c r="Q10" s="2">
        <f>(1-D10)*E5b!D10</f>
        <v>7.6555555555555594</v>
      </c>
      <c r="R10" s="2">
        <f>(1-E10)*E5b!E10</f>
        <v>8.8888888888888928</v>
      </c>
      <c r="S10" s="2">
        <f>(1-F10)*E5b!F10</f>
        <v>11.750000000000002</v>
      </c>
      <c r="T10">
        <f>(1-G10)*E5b!G10</f>
        <v>14.666666666666668</v>
      </c>
      <c r="U10">
        <f>(1-H10)*E5b!H10</f>
        <v>30</v>
      </c>
      <c r="V10">
        <f>(1-I10)*E5b!I10</f>
        <v>50</v>
      </c>
      <c r="W10">
        <f>(1-J10)*E5b!J10</f>
        <v>80</v>
      </c>
      <c r="X10">
        <f>(1-K10)*E5b!K10</f>
        <v>150.00000000000003</v>
      </c>
      <c r="Y10">
        <f>(1-L10)*E5b!L10</f>
        <v>199.99999999999994</v>
      </c>
      <c r="Z10">
        <f>(1-M10)*E5b!M10</f>
        <v>499.99999999999989</v>
      </c>
      <c r="AA10">
        <v>2</v>
      </c>
      <c r="AB10" s="3">
        <f>(E5b!C10-P10-(E5b!B10-O10))/(E5b!C10-E5b!B10)</f>
        <v>0</v>
      </c>
      <c r="AC10" s="68">
        <f>(E5b!D10-Q10-(E5b!C10-P10))/(E5b!D10-E5b!C10)</f>
        <v>0.43333333333333324</v>
      </c>
      <c r="AD10" s="68">
        <f>(E5b!E10-R10-(E5b!D10-Q10))/(E5b!E10-E5b!D10)</f>
        <v>0.3833333333333333</v>
      </c>
      <c r="AE10" s="68">
        <f>(E5b!F10-S10-(E5b!E10-R10))/(E5b!F10-E5b!E10)</f>
        <v>0.33974358974358954</v>
      </c>
      <c r="AF10" s="3">
        <f>(E5b!G10-T10-(E5b!F10-S10))/(E5b!G10-E5b!F10)</f>
        <v>0.4166666666666668</v>
      </c>
      <c r="AG10" s="3">
        <f>(E5b!H10-U10-(E5b!G10-T10))/(E5b!H10-E5b!G10)</f>
        <v>0.48888888888888893</v>
      </c>
      <c r="AH10" s="3">
        <f>(E5b!I10-V10-(E5b!H10-U10))/(E5b!I10-E5b!H10)</f>
        <v>0.6</v>
      </c>
      <c r="AI10" s="3">
        <f>(E5b!J10-W10-(E5b!I10-V10))/(E5b!J10-E5b!I10)</f>
        <v>0.7</v>
      </c>
      <c r="AJ10" s="3">
        <f>(E5b!K10-X10-(E5b!J10-W10))/(E5b!K10-E5b!J10)</f>
        <v>0.76666666666666672</v>
      </c>
      <c r="AK10" s="3">
        <f>(E5b!L10-Y10-(E5b!K10-X10))/(E5b!L10-E5b!K10)</f>
        <v>0.9</v>
      </c>
      <c r="AL10" s="3">
        <f>(E5b!M10-Z10-(E5b!L10-Y10))/(E5b!M10-E5b!L10)</f>
        <v>0.92500000000000004</v>
      </c>
    </row>
    <row r="11" spans="1:39" ht="15.75" customHeight="1" x14ac:dyDescent="0.25">
      <c r="A11" s="21">
        <v>2033</v>
      </c>
      <c r="B11" s="22">
        <f t="shared" si="0"/>
        <v>0</v>
      </c>
      <c r="C11" s="22">
        <f t="shared" si="0"/>
        <v>0</v>
      </c>
      <c r="D11" s="22">
        <f t="shared" si="0"/>
        <v>0.1277777777777778</v>
      </c>
      <c r="E11" s="22">
        <f t="shared" si="0"/>
        <v>0.17777777777777773</v>
      </c>
      <c r="F11" s="22">
        <f t="shared" si="0"/>
        <v>0.22777777777777769</v>
      </c>
      <c r="G11" s="22">
        <f t="shared" si="0"/>
        <v>0.27777777777777779</v>
      </c>
      <c r="H11" s="22">
        <f t="shared" si="0"/>
        <v>0.4</v>
      </c>
      <c r="I11" s="22">
        <f t="shared" si="0"/>
        <v>0.5</v>
      </c>
      <c r="J11" s="22">
        <f t="shared" si="0"/>
        <v>0.6</v>
      </c>
      <c r="K11" s="22">
        <f t="shared" si="0"/>
        <v>0.7</v>
      </c>
      <c r="L11" s="22">
        <f t="shared" si="0"/>
        <v>0.8</v>
      </c>
      <c r="M11" s="22">
        <f t="shared" si="0"/>
        <v>0.9</v>
      </c>
      <c r="N11" s="22"/>
      <c r="O11" s="2">
        <f>(1-B11)*E5b!B11</f>
        <v>4.222222222222225</v>
      </c>
      <c r="P11" s="2">
        <f>(1-C11)*E5b!C11</f>
        <v>6.222222222222225</v>
      </c>
      <c r="Q11" s="2">
        <f>(1-D11)*E5b!D11</f>
        <v>7.3654320987654369</v>
      </c>
      <c r="R11" s="2">
        <f>(1-E11)*E5b!E11</f>
        <v>8.5876543209876601</v>
      </c>
      <c r="S11" s="2">
        <f>(1-F11)*E5b!F11</f>
        <v>11.583333333333336</v>
      </c>
      <c r="T11">
        <f>(1-G11)*E5b!G11</f>
        <v>14.444444444444445</v>
      </c>
      <c r="U11">
        <f>(1-H11)*E5b!H11</f>
        <v>30</v>
      </c>
      <c r="V11">
        <f>(1-I11)*E5b!I11</f>
        <v>50</v>
      </c>
      <c r="W11">
        <f>(1-J11)*E5b!J11</f>
        <v>80</v>
      </c>
      <c r="X11">
        <f>(1-K11)*E5b!K11</f>
        <v>150.00000000000003</v>
      </c>
      <c r="Y11">
        <f>(1-L11)*E5b!L11</f>
        <v>199.99999999999994</v>
      </c>
      <c r="Z11">
        <f>(1-M11)*E5b!M11</f>
        <v>499.99999999999989</v>
      </c>
      <c r="AA11">
        <v>2</v>
      </c>
      <c r="AB11" s="3">
        <f>(E5b!C11-P11-(E5b!B11-O11))/(E5b!C11-E5b!B11)</f>
        <v>0</v>
      </c>
      <c r="AC11" s="68">
        <f>(E5b!D11-Q11-(E5b!C11-P11))/(E5b!D11-E5b!C11)</f>
        <v>0.4855555555555553</v>
      </c>
      <c r="AD11" s="68">
        <f>(E5b!E11-R11-(E5b!D11-Q11))/(E5b!E11-E5b!D11)</f>
        <v>0.3888888888888884</v>
      </c>
      <c r="AE11" s="68">
        <f>(E5b!F11-S11-(E5b!E11-R11))/(E5b!F11-E5b!E11)</f>
        <v>0.34241192411924115</v>
      </c>
      <c r="AF11" s="3">
        <f>(E5b!G11-T11-(E5b!F11-S11))/(E5b!G11-E5b!F11)</f>
        <v>0.4277777777777782</v>
      </c>
      <c r="AG11" s="3">
        <f>(E5b!H11-U11-(E5b!G11-T11))/(E5b!H11-E5b!G11)</f>
        <v>0.48148148148148151</v>
      </c>
      <c r="AH11" s="3">
        <f>(E5b!I11-V11-(E5b!H11-U11))/(E5b!I11-E5b!H11)</f>
        <v>0.6</v>
      </c>
      <c r="AI11" s="3">
        <f>(E5b!J11-W11-(E5b!I11-V11))/(E5b!J11-E5b!I11)</f>
        <v>0.7</v>
      </c>
      <c r="AJ11" s="3">
        <f>(E5b!K11-X11-(E5b!J11-W11))/(E5b!K11-E5b!J11)</f>
        <v>0.76666666666666672</v>
      </c>
      <c r="AK11" s="3">
        <f>(E5b!L11-Y11-(E5b!K11-X11))/(E5b!L11-E5b!K11)</f>
        <v>0.9</v>
      </c>
      <c r="AL11" s="3">
        <f>(E5b!M11-Z11-(E5b!L11-Y11))/(E5b!M11-E5b!L11)</f>
        <v>0.92500000000000004</v>
      </c>
    </row>
    <row r="12" spans="1:39" ht="15.75" customHeight="1" x14ac:dyDescent="0.25">
      <c r="A12" s="21">
        <v>2034</v>
      </c>
      <c r="B12" s="22">
        <f t="shared" si="0"/>
        <v>0</v>
      </c>
      <c r="C12" s="22">
        <f t="shared" si="0"/>
        <v>0</v>
      </c>
      <c r="D12" s="22">
        <f t="shared" si="0"/>
        <v>0.1388888888888889</v>
      </c>
      <c r="E12" s="22">
        <f t="shared" si="0"/>
        <v>0.18888888888888883</v>
      </c>
      <c r="F12" s="22">
        <f t="shared" si="0"/>
        <v>0.23888888888888879</v>
      </c>
      <c r="G12" s="22">
        <f t="shared" si="0"/>
        <v>0.28888888888888892</v>
      </c>
      <c r="H12" s="22">
        <f t="shared" si="0"/>
        <v>0.4</v>
      </c>
      <c r="I12" s="22">
        <f t="shared" si="0"/>
        <v>0.5</v>
      </c>
      <c r="J12" s="22">
        <f t="shared" si="0"/>
        <v>0.6</v>
      </c>
      <c r="K12" s="22">
        <f t="shared" si="0"/>
        <v>0.7</v>
      </c>
      <c r="L12" s="22">
        <f t="shared" si="0"/>
        <v>0.8</v>
      </c>
      <c r="M12" s="22">
        <f t="shared" si="0"/>
        <v>0.9</v>
      </c>
      <c r="N12" s="22"/>
      <c r="O12" s="2">
        <f>(1-B12)*E5b!B12</f>
        <v>4.1111111111111143</v>
      </c>
      <c r="P12" s="2">
        <f>(1-C12)*E5b!C12</f>
        <v>6.1111111111111143</v>
      </c>
      <c r="Q12" s="2">
        <f>(1-D12)*E5b!D12</f>
        <v>7.080246913580253</v>
      </c>
      <c r="R12" s="2">
        <f>(1-E12)*E5b!E12</f>
        <v>8.2913580246913625</v>
      </c>
      <c r="S12" s="2">
        <f>(1-F12)*E5b!F12</f>
        <v>11.416666666666668</v>
      </c>
      <c r="T12">
        <f>(1-G12)*E5b!G12</f>
        <v>14.222222222222221</v>
      </c>
      <c r="U12">
        <f>(1-H12)*E5b!H12</f>
        <v>30</v>
      </c>
      <c r="V12">
        <f>(1-I12)*E5b!I12</f>
        <v>50</v>
      </c>
      <c r="W12">
        <f>(1-J12)*E5b!J12</f>
        <v>80</v>
      </c>
      <c r="X12">
        <f>(1-K12)*E5b!K12</f>
        <v>150.00000000000003</v>
      </c>
      <c r="Y12">
        <f>(1-L12)*E5b!L12</f>
        <v>199.99999999999994</v>
      </c>
      <c r="Z12">
        <f>(1-M12)*E5b!M12</f>
        <v>499.99999999999989</v>
      </c>
      <c r="AA12">
        <v>2</v>
      </c>
      <c r="AB12" s="3">
        <f>(E5b!C12-P12-(E5b!B12-O12))/(E5b!C12-E5b!B12)</f>
        <v>0</v>
      </c>
      <c r="AC12" s="68">
        <f>(E5b!D12-Q12-(E5b!C12-P12))/(E5b!D12-E5b!C12)</f>
        <v>0.54093567251461916</v>
      </c>
      <c r="AD12" s="68">
        <f>(E5b!E12-R12-(E5b!D12-Q12))/(E5b!E12-E5b!D12)</f>
        <v>0.39444444444444526</v>
      </c>
      <c r="AE12" s="68">
        <f>(E5b!F12-S12-(E5b!E12-R12))/(E5b!F12-E5b!E12)</f>
        <v>0.34586563307493523</v>
      </c>
      <c r="AF12" s="3">
        <f>(E5b!G12-T12-(E5b!F12-S12))/(E5b!G12-E5b!F12)</f>
        <v>0.43888888888888927</v>
      </c>
      <c r="AG12" s="3">
        <f>(E5b!H12-U12-(E5b!G12-T12))/(E5b!H12-E5b!G12)</f>
        <v>0.47407407407407404</v>
      </c>
      <c r="AH12" s="3">
        <f>(E5b!I12-V12-(E5b!H12-U12))/(E5b!I12-E5b!H12)</f>
        <v>0.6</v>
      </c>
      <c r="AI12" s="3">
        <f>(E5b!J12-W12-(E5b!I12-V12))/(E5b!J12-E5b!I12)</f>
        <v>0.7</v>
      </c>
      <c r="AJ12" s="3">
        <f>(E5b!K12-X12-(E5b!J12-W12))/(E5b!K12-E5b!J12)</f>
        <v>0.76666666666666672</v>
      </c>
      <c r="AK12" s="3">
        <f>(E5b!L12-Y12-(E5b!K12-X12))/(E5b!L12-E5b!K12)</f>
        <v>0.9</v>
      </c>
      <c r="AL12" s="3">
        <f>(E5b!M12-Z12-(E5b!L12-Y12))/(E5b!M12-E5b!L12)</f>
        <v>0.92500000000000004</v>
      </c>
    </row>
    <row r="13" spans="1:39" ht="15.75" customHeight="1" x14ac:dyDescent="0.25">
      <c r="A13" s="21">
        <v>2035</v>
      </c>
      <c r="B13" s="30">
        <v>0</v>
      </c>
      <c r="C13" s="30">
        <v>0</v>
      </c>
      <c r="D13" s="30">
        <v>0.15</v>
      </c>
      <c r="E13" s="30">
        <v>0.2</v>
      </c>
      <c r="F13" s="30">
        <v>0.25</v>
      </c>
      <c r="G13" s="30">
        <v>0.3</v>
      </c>
      <c r="H13" s="30">
        <v>0.4</v>
      </c>
      <c r="I13" s="30">
        <v>0.5</v>
      </c>
      <c r="J13" s="30">
        <v>0.6</v>
      </c>
      <c r="K13" s="30">
        <v>0.7</v>
      </c>
      <c r="L13" s="30">
        <v>0.8</v>
      </c>
      <c r="M13" s="30">
        <v>0.9</v>
      </c>
      <c r="N13" s="30"/>
      <c r="O13" s="2">
        <f>(1-B13)*E5b!B13</f>
        <v>4</v>
      </c>
      <c r="P13" s="2">
        <f>(1-C13)*E5b!C13</f>
        <v>6</v>
      </c>
      <c r="Q13" s="2">
        <f>(1-D13)*E5b!D13</f>
        <v>6.8</v>
      </c>
      <c r="R13" s="2">
        <f>(1-E13)*E5b!E13</f>
        <v>8</v>
      </c>
      <c r="S13" s="2">
        <f>(1-F13)*E5b!F13</f>
        <v>11.25</v>
      </c>
      <c r="T13">
        <f>(1-G13)*E5b!G13</f>
        <v>14</v>
      </c>
      <c r="U13">
        <f>(1-H13)*E5b!H13</f>
        <v>30</v>
      </c>
      <c r="V13">
        <f>(1-I13)*E5b!I13</f>
        <v>50</v>
      </c>
      <c r="W13">
        <f>(1-J13)*E5b!J13</f>
        <v>80</v>
      </c>
      <c r="X13">
        <f>(1-K13)*E5b!K13</f>
        <v>150.00000000000003</v>
      </c>
      <c r="Y13">
        <f>(1-L13)*E5b!L13</f>
        <v>199.99999999999994</v>
      </c>
      <c r="Z13">
        <f>(1-M13)*E5b!M13</f>
        <v>499.99999999999989</v>
      </c>
      <c r="AA13">
        <v>2</v>
      </c>
      <c r="AB13" s="3">
        <f>(E5b!C13-P13-(E5b!B13-O13))/(E5b!C13-E5b!B13)</f>
        <v>0</v>
      </c>
      <c r="AC13" s="68">
        <f>(E5b!D13-Q13-(E5b!C13-P13))/(E5b!D13-E5b!C13)</f>
        <v>0.60000000000000009</v>
      </c>
      <c r="AD13" s="68">
        <f>(E5b!E13-R13-(E5b!D13-Q13))/(E5b!E13-E5b!D13)</f>
        <v>0.39999999999999991</v>
      </c>
      <c r="AE13" s="68">
        <f>(E5b!F13-S13-(E5b!E13-R13))/(E5b!F13-E5b!E13)</f>
        <v>0.35</v>
      </c>
      <c r="AF13" s="3">
        <f>(E5b!G13-T13-(E5b!F13-S13))/(E5b!G13-E5b!F13)</f>
        <v>0.45</v>
      </c>
      <c r="AG13" s="3">
        <f>(E5b!H13-U13-(E5b!G13-T13))/(E5b!H13-E5b!G13)</f>
        <v>0.46666666666666667</v>
      </c>
      <c r="AH13" s="3">
        <f>(E5b!I13-V13-(E5b!H13-U13))/(E5b!I13-E5b!H13)</f>
        <v>0.6</v>
      </c>
      <c r="AI13" s="3">
        <f>(E5b!J13-W13-(E5b!I13-V13))/(E5b!J13-E5b!I13)</f>
        <v>0.7</v>
      </c>
      <c r="AJ13" s="3">
        <f>(E5b!K13-X13-(E5b!J13-W13))/(E5b!K13-E5b!J13)</f>
        <v>0.76666666666666672</v>
      </c>
      <c r="AK13" s="3">
        <f>(E5b!L13-Y13-(E5b!K13-X13))/(E5b!L13-E5b!K13)</f>
        <v>0.9</v>
      </c>
      <c r="AL13" s="3">
        <f>(E5b!M13-Z13-(E5b!L13-Y13))/(E5b!M13-E5b!L13)</f>
        <v>0.92500000000000004</v>
      </c>
    </row>
    <row r="14" spans="1:39" ht="15.75" customHeight="1" x14ac:dyDescent="0.25">
      <c r="A14" s="21">
        <v>2036</v>
      </c>
      <c r="B14" s="22">
        <f t="shared" ref="B14:B27" si="1">B13+(B$28-B$13)/15</f>
        <v>0</v>
      </c>
      <c r="C14" s="22">
        <f t="shared" ref="C14:C27" si="2">C13+(C$28-C$13)/15</f>
        <v>0</v>
      </c>
      <c r="D14" s="22">
        <f t="shared" ref="D14:D27" si="3">D13+(D$28-D$13)/15</f>
        <v>0.15</v>
      </c>
      <c r="E14" s="22">
        <f t="shared" ref="E14:E27" si="4">E13+(E$28-E$13)/15</f>
        <v>0.2</v>
      </c>
      <c r="F14" s="22">
        <f t="shared" ref="F14:F27" si="5">F13+(F$28-F$13)/15</f>
        <v>0.25</v>
      </c>
      <c r="G14" s="22">
        <f t="shared" ref="G14:G27" si="6">G13+(G$28-G$13)/15</f>
        <v>0.3</v>
      </c>
      <c r="H14" s="22">
        <f t="shared" ref="H14:H27" si="7">H13+(H$28-H$13)/15</f>
        <v>0.4</v>
      </c>
      <c r="I14" s="22">
        <f t="shared" ref="I14:I27" si="8">I13+(I$28-I$13)/15</f>
        <v>0.5</v>
      </c>
      <c r="J14" s="22">
        <f t="shared" ref="J14:J27" si="9">J13+(J$28-J$13)/15</f>
        <v>0.6</v>
      </c>
      <c r="K14" s="22">
        <f t="shared" ref="K14:K27" si="10">K13+(K$28-K$13)/15</f>
        <v>0.7</v>
      </c>
      <c r="L14" s="22">
        <f t="shared" ref="L14:L27" si="11">L13+(L$28-L$13)/15</f>
        <v>0.8</v>
      </c>
      <c r="M14" s="22">
        <f t="shared" ref="M14:M27" si="12">M13+(M$28-M$13)/15</f>
        <v>0.9</v>
      </c>
      <c r="N14" s="22"/>
      <c r="O14" s="2">
        <f>(1-B14)*E5b!B14</f>
        <v>3.9333333333333331</v>
      </c>
      <c r="P14" s="2">
        <f>(1-C14)*E5b!C14</f>
        <v>5.8666666666666663</v>
      </c>
      <c r="Q14" s="2">
        <f>(1-D14)*E5b!D14</f>
        <v>6.6866666666666665</v>
      </c>
      <c r="R14" s="2">
        <f>(1-E14)*E5b!E14</f>
        <v>7.8933333333333344</v>
      </c>
      <c r="S14" s="2">
        <f>(1-F14)*E5b!F14</f>
        <v>11.100000000000001</v>
      </c>
      <c r="T14">
        <f>(1-G14)*E5b!G14</f>
        <v>14</v>
      </c>
      <c r="U14">
        <f>(1-H14)*E5b!H14</f>
        <v>30</v>
      </c>
      <c r="V14">
        <f>(1-I14)*E5b!I14</f>
        <v>50</v>
      </c>
      <c r="W14">
        <f>(1-J14)*E5b!J14</f>
        <v>80</v>
      </c>
      <c r="X14">
        <f>(1-K14)*E5b!K14</f>
        <v>150.00000000000003</v>
      </c>
      <c r="Y14">
        <f>(1-L14)*E5b!L14</f>
        <v>199.99999999999994</v>
      </c>
      <c r="Z14">
        <f>(1-M14)*E5b!M14</f>
        <v>499.99999999999989</v>
      </c>
      <c r="AA14">
        <v>2</v>
      </c>
      <c r="AB14" s="3">
        <f>(E5b!C14-P14-(E5b!B14-O14))/(E5b!C14-E5b!B14)</f>
        <v>0</v>
      </c>
      <c r="AC14" s="68">
        <f>(E5b!D14-Q14-(E5b!C14-P14))/(E5b!D14-E5b!C14)</f>
        <v>0.58999999999999986</v>
      </c>
      <c r="AD14" s="68">
        <f>(E5b!E14-R14-(E5b!D14-Q14))/(E5b!E14-E5b!D14)</f>
        <v>0.39666666666666633</v>
      </c>
      <c r="AE14" s="68">
        <f>(E5b!F14-S14-(E5b!E14-R14))/(E5b!F14-E5b!E14)</f>
        <v>0.35</v>
      </c>
      <c r="AF14" s="3">
        <f>(E5b!G14-T14-(E5b!F14-S14))/(E5b!G14-E5b!F14)</f>
        <v>0.44230769230769251</v>
      </c>
      <c r="AG14" s="3">
        <f>(E5b!H14-U14-(E5b!G14-T14))/(E5b!H14-E5b!G14)</f>
        <v>0.46666666666666667</v>
      </c>
      <c r="AH14" s="3">
        <f>(E5b!I14-V14-(E5b!H14-U14))/(E5b!I14-E5b!H14)</f>
        <v>0.6</v>
      </c>
      <c r="AI14" s="3">
        <f>(E5b!J14-W14-(E5b!I14-V14))/(E5b!J14-E5b!I14)</f>
        <v>0.7</v>
      </c>
      <c r="AJ14" s="3">
        <f>(E5b!K14-X14-(E5b!J14-W14))/(E5b!K14-E5b!J14)</f>
        <v>0.76666666666666672</v>
      </c>
      <c r="AK14" s="3">
        <f>(E5b!L14-Y14-(E5b!K14-X14))/(E5b!L14-E5b!K14)</f>
        <v>0.9</v>
      </c>
      <c r="AL14" s="3">
        <f>(E5b!M14-Z14-(E5b!L14-Y14))/(E5b!M14-E5b!L14)</f>
        <v>0.92500000000000004</v>
      </c>
    </row>
    <row r="15" spans="1:39" ht="15.75" customHeight="1" x14ac:dyDescent="0.25">
      <c r="A15" s="21">
        <v>2037</v>
      </c>
      <c r="B15" s="22">
        <f t="shared" si="1"/>
        <v>0</v>
      </c>
      <c r="C15" s="22">
        <f t="shared" si="2"/>
        <v>0</v>
      </c>
      <c r="D15" s="22">
        <f t="shared" si="3"/>
        <v>0.15</v>
      </c>
      <c r="E15" s="22">
        <f t="shared" si="4"/>
        <v>0.2</v>
      </c>
      <c r="F15" s="22">
        <f t="shared" si="5"/>
        <v>0.25</v>
      </c>
      <c r="G15" s="22">
        <f t="shared" si="6"/>
        <v>0.3</v>
      </c>
      <c r="H15" s="22">
        <f t="shared" si="7"/>
        <v>0.4</v>
      </c>
      <c r="I15" s="22">
        <f t="shared" si="8"/>
        <v>0.5</v>
      </c>
      <c r="J15" s="22">
        <f t="shared" si="9"/>
        <v>0.6</v>
      </c>
      <c r="K15" s="22">
        <f t="shared" si="10"/>
        <v>0.7</v>
      </c>
      <c r="L15" s="22">
        <f t="shared" si="11"/>
        <v>0.8</v>
      </c>
      <c r="M15" s="22">
        <f t="shared" si="12"/>
        <v>0.9</v>
      </c>
      <c r="N15" s="22"/>
      <c r="O15" s="2">
        <f>(1-B15)*E5b!B15</f>
        <v>3.8666666666666663</v>
      </c>
      <c r="P15" s="2">
        <f>(1-C15)*E5b!C15</f>
        <v>5.7333333333333325</v>
      </c>
      <c r="Q15" s="2">
        <f>(1-D15)*E5b!D15</f>
        <v>6.5733333333333324</v>
      </c>
      <c r="R15" s="2">
        <f>(1-E15)*E5b!E15</f>
        <v>7.786666666666668</v>
      </c>
      <c r="S15" s="2">
        <f>(1-F15)*E5b!F15</f>
        <v>10.950000000000001</v>
      </c>
      <c r="T15">
        <f>(1-G15)*E5b!G15</f>
        <v>14</v>
      </c>
      <c r="U15">
        <f>(1-H15)*E5b!H15</f>
        <v>30</v>
      </c>
      <c r="V15">
        <f>(1-I15)*E5b!I15</f>
        <v>50</v>
      </c>
      <c r="W15">
        <f>(1-J15)*E5b!J15</f>
        <v>80</v>
      </c>
      <c r="X15">
        <f>(1-K15)*E5b!K15</f>
        <v>150.00000000000003</v>
      </c>
      <c r="Y15">
        <f>(1-L15)*E5b!L15</f>
        <v>199.99999999999994</v>
      </c>
      <c r="Z15">
        <f>(1-M15)*E5b!M15</f>
        <v>499.99999999999989</v>
      </c>
      <c r="AA15">
        <v>2</v>
      </c>
      <c r="AB15" s="3">
        <f>(E5b!C15-P15-(E5b!B15-O15))/(E5b!C15-E5b!B15)</f>
        <v>0</v>
      </c>
      <c r="AC15" s="68">
        <f>(E5b!D15-Q15-(E5b!C15-P15))/(E5b!D15-E5b!C15)</f>
        <v>0.58000000000000007</v>
      </c>
      <c r="AD15" s="68">
        <f>(E5b!E15-R15-(E5b!D15-Q15))/(E5b!E15-E5b!D15)</f>
        <v>0.39333333333333276</v>
      </c>
      <c r="AE15" s="68">
        <f>(E5b!F15-S15-(E5b!E15-R15))/(E5b!F15-E5b!E15)</f>
        <v>0.35000000000000009</v>
      </c>
      <c r="AF15" s="3">
        <f>(E5b!G15-T15-(E5b!F15-S15))/(E5b!G15-E5b!F15)</f>
        <v>0.43518518518518523</v>
      </c>
      <c r="AG15" s="3">
        <f>(E5b!H15-U15-(E5b!G15-T15))/(E5b!H15-E5b!G15)</f>
        <v>0.46666666666666667</v>
      </c>
      <c r="AH15" s="3">
        <f>(E5b!I15-V15-(E5b!H15-U15))/(E5b!I15-E5b!H15)</f>
        <v>0.6</v>
      </c>
      <c r="AI15" s="3">
        <f>(E5b!J15-W15-(E5b!I15-V15))/(E5b!J15-E5b!I15)</f>
        <v>0.7</v>
      </c>
      <c r="AJ15" s="3">
        <f>(E5b!K15-X15-(E5b!J15-W15))/(E5b!K15-E5b!J15)</f>
        <v>0.76666666666666672</v>
      </c>
      <c r="AK15" s="3">
        <f>(E5b!L15-Y15-(E5b!K15-X15))/(E5b!L15-E5b!K15)</f>
        <v>0.9</v>
      </c>
      <c r="AL15" s="3">
        <f>(E5b!M15-Z15-(E5b!L15-Y15))/(E5b!M15-E5b!L15)</f>
        <v>0.92500000000000004</v>
      </c>
    </row>
    <row r="16" spans="1:39" ht="15.75" customHeight="1" x14ac:dyDescent="0.25">
      <c r="A16" s="21">
        <v>2038</v>
      </c>
      <c r="B16" s="22">
        <f t="shared" si="1"/>
        <v>0</v>
      </c>
      <c r="C16" s="22">
        <f t="shared" si="2"/>
        <v>0</v>
      </c>
      <c r="D16" s="22">
        <f t="shared" si="3"/>
        <v>0.15</v>
      </c>
      <c r="E16" s="22">
        <f t="shared" si="4"/>
        <v>0.2</v>
      </c>
      <c r="F16" s="22">
        <f t="shared" si="5"/>
        <v>0.25</v>
      </c>
      <c r="G16" s="22">
        <f t="shared" si="6"/>
        <v>0.3</v>
      </c>
      <c r="H16" s="22">
        <f t="shared" si="7"/>
        <v>0.4</v>
      </c>
      <c r="I16" s="22">
        <f t="shared" si="8"/>
        <v>0.5</v>
      </c>
      <c r="J16" s="22">
        <f t="shared" si="9"/>
        <v>0.6</v>
      </c>
      <c r="K16" s="22">
        <f t="shared" si="10"/>
        <v>0.7</v>
      </c>
      <c r="L16" s="22">
        <f t="shared" si="11"/>
        <v>0.8</v>
      </c>
      <c r="M16" s="22">
        <f t="shared" si="12"/>
        <v>0.9</v>
      </c>
      <c r="N16" s="22"/>
      <c r="O16" s="2">
        <f>(1-B16)*E5b!B16</f>
        <v>3.7999999999999994</v>
      </c>
      <c r="P16" s="2">
        <f>(1-C16)*E5b!C16</f>
        <v>5.5999999999999988</v>
      </c>
      <c r="Q16" s="2">
        <f>(1-D16)*E5b!D16</f>
        <v>6.4599999999999991</v>
      </c>
      <c r="R16" s="2">
        <f>(1-E16)*E5b!E16</f>
        <v>7.6800000000000015</v>
      </c>
      <c r="S16" s="2">
        <f>(1-F16)*E5b!F16</f>
        <v>10.8</v>
      </c>
      <c r="T16">
        <f>(1-G16)*E5b!G16</f>
        <v>14</v>
      </c>
      <c r="U16">
        <f>(1-H16)*E5b!H16</f>
        <v>30</v>
      </c>
      <c r="V16">
        <f>(1-I16)*E5b!I16</f>
        <v>50</v>
      </c>
      <c r="W16">
        <f>(1-J16)*E5b!J16</f>
        <v>80</v>
      </c>
      <c r="X16">
        <f>(1-K16)*E5b!K16</f>
        <v>150.00000000000003</v>
      </c>
      <c r="Y16">
        <f>(1-L16)*E5b!L16</f>
        <v>199.99999999999994</v>
      </c>
      <c r="Z16">
        <f>(1-M16)*E5b!M16</f>
        <v>499.99999999999989</v>
      </c>
      <c r="AA16">
        <v>2</v>
      </c>
      <c r="AB16" s="3">
        <f>(E5b!C16-P16-(E5b!B16-O16))/(E5b!C16-E5b!B16)</f>
        <v>0</v>
      </c>
      <c r="AC16" s="68">
        <f>(E5b!D16-Q16-(E5b!C16-P16))/(E5b!D16-E5b!C16)</f>
        <v>0.56999999999999984</v>
      </c>
      <c r="AD16" s="68">
        <f>(E5b!E16-R16-(E5b!D16-Q16))/(E5b!E16-E5b!D16)</f>
        <v>0.38999999999999962</v>
      </c>
      <c r="AE16" s="68">
        <f>(E5b!F16-S16-(E5b!E16-R16))/(E5b!F16-E5b!E16)</f>
        <v>0.35000000000000026</v>
      </c>
      <c r="AF16" s="3">
        <f>(E5b!G16-T16-(E5b!F16-S16))/(E5b!G16-E5b!F16)</f>
        <v>0.42857142857142849</v>
      </c>
      <c r="AG16" s="3">
        <f>(E5b!H16-U16-(E5b!G16-T16))/(E5b!H16-E5b!G16)</f>
        <v>0.46666666666666667</v>
      </c>
      <c r="AH16" s="3">
        <f>(E5b!I16-V16-(E5b!H16-U16))/(E5b!I16-E5b!H16)</f>
        <v>0.6</v>
      </c>
      <c r="AI16" s="3">
        <f>(E5b!J16-W16-(E5b!I16-V16))/(E5b!J16-E5b!I16)</f>
        <v>0.7</v>
      </c>
      <c r="AJ16" s="3">
        <f>(E5b!K16-X16-(E5b!J16-W16))/(E5b!K16-E5b!J16)</f>
        <v>0.76666666666666672</v>
      </c>
      <c r="AK16" s="3">
        <f>(E5b!L16-Y16-(E5b!K16-X16))/(E5b!L16-E5b!K16)</f>
        <v>0.9</v>
      </c>
      <c r="AL16" s="3">
        <f>(E5b!M16-Z16-(E5b!L16-Y16))/(E5b!M16-E5b!L16)</f>
        <v>0.92500000000000004</v>
      </c>
    </row>
    <row r="17" spans="1:38" ht="15.75" customHeight="1" x14ac:dyDescent="0.25">
      <c r="A17" s="21">
        <v>2039</v>
      </c>
      <c r="B17" s="22">
        <f t="shared" si="1"/>
        <v>0</v>
      </c>
      <c r="C17" s="22">
        <f t="shared" si="2"/>
        <v>0</v>
      </c>
      <c r="D17" s="22">
        <f t="shared" si="3"/>
        <v>0.15</v>
      </c>
      <c r="E17" s="22">
        <f t="shared" si="4"/>
        <v>0.2</v>
      </c>
      <c r="F17" s="22">
        <f t="shared" si="5"/>
        <v>0.25</v>
      </c>
      <c r="G17" s="22">
        <f t="shared" si="6"/>
        <v>0.3</v>
      </c>
      <c r="H17" s="22">
        <f t="shared" si="7"/>
        <v>0.4</v>
      </c>
      <c r="I17" s="22">
        <f t="shared" si="8"/>
        <v>0.5</v>
      </c>
      <c r="J17" s="22">
        <f t="shared" si="9"/>
        <v>0.6</v>
      </c>
      <c r="K17" s="22">
        <f t="shared" si="10"/>
        <v>0.7</v>
      </c>
      <c r="L17" s="22">
        <f t="shared" si="11"/>
        <v>0.8</v>
      </c>
      <c r="M17" s="22">
        <f t="shared" si="12"/>
        <v>0.9</v>
      </c>
      <c r="N17" s="22"/>
      <c r="O17" s="2">
        <f>(1-B17)*E5b!B17</f>
        <v>3.7333333333333325</v>
      </c>
      <c r="P17" s="2">
        <f>(1-C17)*E5b!C17</f>
        <v>5.466666666666665</v>
      </c>
      <c r="Q17" s="2">
        <f>(1-D17)*E5b!D17</f>
        <v>6.3466666666666649</v>
      </c>
      <c r="R17" s="2">
        <f>(1-E17)*E5b!E17</f>
        <v>7.573333333333335</v>
      </c>
      <c r="S17" s="2">
        <f>(1-F17)*E5b!F17</f>
        <v>10.650000000000002</v>
      </c>
      <c r="T17">
        <f>(1-G17)*E5b!G17</f>
        <v>14</v>
      </c>
      <c r="U17">
        <f>(1-H17)*E5b!H17</f>
        <v>30</v>
      </c>
      <c r="V17">
        <f>(1-I17)*E5b!I17</f>
        <v>50</v>
      </c>
      <c r="W17">
        <f>(1-J17)*E5b!J17</f>
        <v>80</v>
      </c>
      <c r="X17">
        <f>(1-K17)*E5b!K17</f>
        <v>150.00000000000003</v>
      </c>
      <c r="Y17">
        <f>(1-L17)*E5b!L17</f>
        <v>199.99999999999994</v>
      </c>
      <c r="Z17">
        <f>(1-M17)*E5b!M17</f>
        <v>499.99999999999989</v>
      </c>
      <c r="AA17">
        <v>2</v>
      </c>
      <c r="AB17" s="3">
        <f>(E5b!C17-P17-(E5b!B17-O17))/(E5b!C17-E5b!B17)</f>
        <v>0</v>
      </c>
      <c r="AC17" s="68">
        <f>(E5b!D17-Q17-(E5b!C17-P17))/(E5b!D17-E5b!C17)</f>
        <v>0.56000000000000005</v>
      </c>
      <c r="AD17" s="68">
        <f>(E5b!E17-R17-(E5b!D17-Q17))/(E5b!E17-E5b!D17)</f>
        <v>0.38666666666666605</v>
      </c>
      <c r="AE17" s="68">
        <f>(E5b!F17-S17-(E5b!E17-R17))/(E5b!F17-E5b!E17)</f>
        <v>0.35000000000000003</v>
      </c>
      <c r="AF17" s="3">
        <f>(E5b!G17-T17-(E5b!F17-S17))/(E5b!G17-E5b!F17)</f>
        <v>0.42241379310344834</v>
      </c>
      <c r="AG17" s="3">
        <f>(E5b!H17-U17-(E5b!G17-T17))/(E5b!H17-E5b!G17)</f>
        <v>0.46666666666666667</v>
      </c>
      <c r="AH17" s="3">
        <f>(E5b!I17-V17-(E5b!H17-U17))/(E5b!I17-E5b!H17)</f>
        <v>0.6</v>
      </c>
      <c r="AI17" s="3">
        <f>(E5b!J17-W17-(E5b!I17-V17))/(E5b!J17-E5b!I17)</f>
        <v>0.7</v>
      </c>
      <c r="AJ17" s="3">
        <f>(E5b!K17-X17-(E5b!J17-W17))/(E5b!K17-E5b!J17)</f>
        <v>0.76666666666666672</v>
      </c>
      <c r="AK17" s="3">
        <f>(E5b!L17-Y17-(E5b!K17-X17))/(E5b!L17-E5b!K17)</f>
        <v>0.9</v>
      </c>
      <c r="AL17" s="3">
        <f>(E5b!M17-Z17-(E5b!L17-Y17))/(E5b!M17-E5b!L17)</f>
        <v>0.92500000000000004</v>
      </c>
    </row>
    <row r="18" spans="1:38" ht="15.75" customHeight="1" x14ac:dyDescent="0.25">
      <c r="A18" s="21">
        <v>2040</v>
      </c>
      <c r="B18" s="22">
        <f t="shared" si="1"/>
        <v>0</v>
      </c>
      <c r="C18" s="22">
        <f t="shared" si="2"/>
        <v>0</v>
      </c>
      <c r="D18" s="22">
        <f t="shared" si="3"/>
        <v>0.15</v>
      </c>
      <c r="E18" s="22">
        <f t="shared" si="4"/>
        <v>0.2</v>
      </c>
      <c r="F18" s="22">
        <f t="shared" si="5"/>
        <v>0.25</v>
      </c>
      <c r="G18" s="22">
        <f t="shared" si="6"/>
        <v>0.3</v>
      </c>
      <c r="H18" s="22">
        <f t="shared" si="7"/>
        <v>0.4</v>
      </c>
      <c r="I18" s="22">
        <f t="shared" si="8"/>
        <v>0.5</v>
      </c>
      <c r="J18" s="22">
        <f t="shared" si="9"/>
        <v>0.6</v>
      </c>
      <c r="K18" s="22">
        <f t="shared" si="10"/>
        <v>0.7</v>
      </c>
      <c r="L18" s="22">
        <f t="shared" si="11"/>
        <v>0.8</v>
      </c>
      <c r="M18" s="22">
        <f t="shared" si="12"/>
        <v>0.9</v>
      </c>
      <c r="N18" s="22"/>
      <c r="O18" s="2">
        <f>(1-B18)*E5b!B18</f>
        <v>3.6666666666666656</v>
      </c>
      <c r="P18" s="2">
        <f>(1-C18)*E5b!C18</f>
        <v>5.3333333333333313</v>
      </c>
      <c r="Q18" s="2">
        <f>(1-D18)*E5b!D18</f>
        <v>6.2333333333333316</v>
      </c>
      <c r="R18" s="2">
        <f>(1-E18)*E5b!E18</f>
        <v>7.4666666666666686</v>
      </c>
      <c r="S18" s="2">
        <f>(1-F18)*E5b!F18</f>
        <v>10.500000000000004</v>
      </c>
      <c r="T18">
        <f>(1-G18)*E5b!G18</f>
        <v>14</v>
      </c>
      <c r="U18">
        <f>(1-H18)*E5b!H18</f>
        <v>30</v>
      </c>
      <c r="V18">
        <f>(1-I18)*E5b!I18</f>
        <v>50</v>
      </c>
      <c r="W18">
        <f>(1-J18)*E5b!J18</f>
        <v>80</v>
      </c>
      <c r="X18">
        <f>(1-K18)*E5b!K18</f>
        <v>150.00000000000003</v>
      </c>
      <c r="Y18">
        <f>(1-L18)*E5b!L18</f>
        <v>199.99999999999994</v>
      </c>
      <c r="Z18">
        <f>(1-M18)*E5b!M18</f>
        <v>499.99999999999989</v>
      </c>
      <c r="AA18">
        <v>2</v>
      </c>
      <c r="AB18" s="3">
        <f>(E5b!C18-P18-(E5b!B18-O18))/(E5b!C18-E5b!B18)</f>
        <v>0</v>
      </c>
      <c r="AC18" s="68">
        <f>(E5b!D18-Q18-(E5b!C18-P18))/(E5b!D18-E5b!C18)</f>
        <v>0.54999999999999982</v>
      </c>
      <c r="AD18" s="68">
        <f>(E5b!E18-R18-(E5b!D18-Q18))/(E5b!E18-E5b!D18)</f>
        <v>0.38333333333333292</v>
      </c>
      <c r="AE18" s="68">
        <f>(E5b!F18-S18-(E5b!E18-R18))/(E5b!F18-E5b!E18)</f>
        <v>0.34999999999999981</v>
      </c>
      <c r="AF18" s="3">
        <f>(E5b!G18-T18-(E5b!F18-S18))/(E5b!G18-E5b!F18)</f>
        <v>0.41666666666666691</v>
      </c>
      <c r="AG18" s="3">
        <f>(E5b!H18-U18-(E5b!G18-T18))/(E5b!H18-E5b!G18)</f>
        <v>0.46666666666666667</v>
      </c>
      <c r="AH18" s="3">
        <f>(E5b!I18-V18-(E5b!H18-U18))/(E5b!I18-E5b!H18)</f>
        <v>0.6</v>
      </c>
      <c r="AI18" s="3">
        <f>(E5b!J18-W18-(E5b!I18-V18))/(E5b!J18-E5b!I18)</f>
        <v>0.7</v>
      </c>
      <c r="AJ18" s="3">
        <f>(E5b!K18-X18-(E5b!J18-W18))/(E5b!K18-E5b!J18)</f>
        <v>0.76666666666666672</v>
      </c>
      <c r="AK18" s="3">
        <f>(E5b!L18-Y18-(E5b!K18-X18))/(E5b!L18-E5b!K18)</f>
        <v>0.9</v>
      </c>
      <c r="AL18" s="3">
        <f>(E5b!M18-Z18-(E5b!L18-Y18))/(E5b!M18-E5b!L18)</f>
        <v>0.92500000000000004</v>
      </c>
    </row>
    <row r="19" spans="1:38" ht="15.75" customHeight="1" x14ac:dyDescent="0.25">
      <c r="A19" s="21">
        <v>2041</v>
      </c>
      <c r="B19" s="22">
        <f t="shared" si="1"/>
        <v>0</v>
      </c>
      <c r="C19" s="22">
        <f t="shared" si="2"/>
        <v>0</v>
      </c>
      <c r="D19" s="22">
        <f t="shared" si="3"/>
        <v>0.15</v>
      </c>
      <c r="E19" s="22">
        <f t="shared" si="4"/>
        <v>0.2</v>
      </c>
      <c r="F19" s="22">
        <f t="shared" si="5"/>
        <v>0.25</v>
      </c>
      <c r="G19" s="22">
        <f t="shared" si="6"/>
        <v>0.3</v>
      </c>
      <c r="H19" s="22">
        <f t="shared" si="7"/>
        <v>0.4</v>
      </c>
      <c r="I19" s="22">
        <f t="shared" si="8"/>
        <v>0.5</v>
      </c>
      <c r="J19" s="22">
        <f t="shared" si="9"/>
        <v>0.6</v>
      </c>
      <c r="K19" s="22">
        <f t="shared" si="10"/>
        <v>0.7</v>
      </c>
      <c r="L19" s="22">
        <f t="shared" si="11"/>
        <v>0.8</v>
      </c>
      <c r="M19" s="22">
        <f t="shared" si="12"/>
        <v>0.9</v>
      </c>
      <c r="N19" s="22"/>
      <c r="O19" s="2">
        <f>(1-B19)*E5b!B19</f>
        <v>3.5999999999999988</v>
      </c>
      <c r="P19" s="2">
        <f>(1-C19)*E5b!C19</f>
        <v>5.1999999999999975</v>
      </c>
      <c r="Q19" s="2">
        <f>(1-D19)*E5b!D19</f>
        <v>6.1199999999999974</v>
      </c>
      <c r="R19" s="2">
        <f>(1-E19)*E5b!E19</f>
        <v>7.360000000000003</v>
      </c>
      <c r="S19" s="2">
        <f>(1-F19)*E5b!F19</f>
        <v>10.350000000000003</v>
      </c>
      <c r="T19">
        <f>(1-G19)*E5b!G19</f>
        <v>14</v>
      </c>
      <c r="U19">
        <f>(1-H19)*E5b!H19</f>
        <v>30</v>
      </c>
      <c r="V19">
        <f>(1-I19)*E5b!I19</f>
        <v>50</v>
      </c>
      <c r="W19">
        <f>(1-J19)*E5b!J19</f>
        <v>80</v>
      </c>
      <c r="X19">
        <f>(1-K19)*E5b!K19</f>
        <v>150.00000000000003</v>
      </c>
      <c r="Y19">
        <f>(1-L19)*E5b!L19</f>
        <v>199.99999999999994</v>
      </c>
      <c r="Z19">
        <f>(1-M19)*E5b!M19</f>
        <v>499.99999999999989</v>
      </c>
      <c r="AA19">
        <v>2</v>
      </c>
      <c r="AB19" s="3">
        <f>(E5b!C19-P19-(E5b!B19-O19))/(E5b!C19-E5b!B19)</f>
        <v>0</v>
      </c>
      <c r="AC19" s="68">
        <f>(E5b!D19-Q19-(E5b!C19-P19))/(E5b!D19-E5b!C19)</f>
        <v>0.54</v>
      </c>
      <c r="AD19" s="68">
        <f>(E5b!E19-R19-(E5b!D19-Q19))/(E5b!E19-E5b!D19)</f>
        <v>0.37999999999999889</v>
      </c>
      <c r="AE19" s="68">
        <f>(E5b!F19-S19-(E5b!E19-R19))/(E5b!F19-E5b!E19)</f>
        <v>0.35000000000000014</v>
      </c>
      <c r="AF19" s="3">
        <f>(E5b!G19-T19-(E5b!F19-S19))/(E5b!G19-E5b!F19)</f>
        <v>0.4112903225806453</v>
      </c>
      <c r="AG19" s="3">
        <f>(E5b!H19-U19-(E5b!G19-T19))/(E5b!H19-E5b!G19)</f>
        <v>0.46666666666666667</v>
      </c>
      <c r="AH19" s="3">
        <f>(E5b!I19-V19-(E5b!H19-U19))/(E5b!I19-E5b!H19)</f>
        <v>0.6</v>
      </c>
      <c r="AI19" s="3">
        <f>(E5b!J19-W19-(E5b!I19-V19))/(E5b!J19-E5b!I19)</f>
        <v>0.7</v>
      </c>
      <c r="AJ19" s="3">
        <f>(E5b!K19-X19-(E5b!J19-W19))/(E5b!K19-E5b!J19)</f>
        <v>0.76666666666666672</v>
      </c>
      <c r="AK19" s="3">
        <f>(E5b!L19-Y19-(E5b!K19-X19))/(E5b!L19-E5b!K19)</f>
        <v>0.9</v>
      </c>
      <c r="AL19" s="3">
        <f>(E5b!M19-Z19-(E5b!L19-Y19))/(E5b!M19-E5b!L19)</f>
        <v>0.92500000000000004</v>
      </c>
    </row>
    <row r="20" spans="1:38" ht="15.75" customHeight="1" x14ac:dyDescent="0.25">
      <c r="A20" s="21">
        <v>2042</v>
      </c>
      <c r="B20" s="22">
        <f t="shared" si="1"/>
        <v>0</v>
      </c>
      <c r="C20" s="22">
        <f t="shared" si="2"/>
        <v>0</v>
      </c>
      <c r="D20" s="22">
        <f t="shared" si="3"/>
        <v>0.15</v>
      </c>
      <c r="E20" s="22">
        <f t="shared" si="4"/>
        <v>0.2</v>
      </c>
      <c r="F20" s="22">
        <f t="shared" si="5"/>
        <v>0.25</v>
      </c>
      <c r="G20" s="22">
        <f t="shared" si="6"/>
        <v>0.3</v>
      </c>
      <c r="H20" s="22">
        <f t="shared" si="7"/>
        <v>0.4</v>
      </c>
      <c r="I20" s="22">
        <f t="shared" si="8"/>
        <v>0.5</v>
      </c>
      <c r="J20" s="22">
        <f t="shared" si="9"/>
        <v>0.6</v>
      </c>
      <c r="K20" s="22">
        <f t="shared" si="10"/>
        <v>0.7</v>
      </c>
      <c r="L20" s="22">
        <f t="shared" si="11"/>
        <v>0.8</v>
      </c>
      <c r="M20" s="22">
        <f t="shared" si="12"/>
        <v>0.9</v>
      </c>
      <c r="N20" s="22"/>
      <c r="O20" s="2">
        <f>(1-B20)*E5b!B20</f>
        <v>3.5333333333333319</v>
      </c>
      <c r="P20" s="2">
        <f>(1-C20)*E5b!C20</f>
        <v>5.0666666666666638</v>
      </c>
      <c r="Q20" s="2">
        <f>(1-D20)*E5b!D20</f>
        <v>6.0066666666666642</v>
      </c>
      <c r="R20" s="2">
        <f>(1-E20)*E5b!E20</f>
        <v>7.2533333333333365</v>
      </c>
      <c r="S20" s="2">
        <f>(1-F20)*E5b!F20</f>
        <v>10.200000000000003</v>
      </c>
      <c r="T20">
        <f>(1-G20)*E5b!G20</f>
        <v>14</v>
      </c>
      <c r="U20">
        <f>(1-H20)*E5b!H20</f>
        <v>30</v>
      </c>
      <c r="V20">
        <f>(1-I20)*E5b!I20</f>
        <v>50</v>
      </c>
      <c r="W20">
        <f>(1-J20)*E5b!J20</f>
        <v>80</v>
      </c>
      <c r="X20">
        <f>(1-K20)*E5b!K20</f>
        <v>150.00000000000003</v>
      </c>
      <c r="Y20">
        <f>(1-L20)*E5b!L20</f>
        <v>199.99999999999994</v>
      </c>
      <c r="Z20">
        <f>(1-M20)*E5b!M20</f>
        <v>499.99999999999989</v>
      </c>
      <c r="AA20">
        <v>2</v>
      </c>
      <c r="AB20" s="3">
        <f>(E5b!C20-P20-(E5b!B20-O20))/(E5b!C20-E5b!B20)</f>
        <v>0</v>
      </c>
      <c r="AC20" s="68">
        <f>(E5b!D20-Q20-(E5b!C20-P20))/(E5b!D20-E5b!C20)</f>
        <v>0.5299999999999998</v>
      </c>
      <c r="AD20" s="68">
        <f>(E5b!E20-R20-(E5b!D20-Q20))/(E5b!E20-E5b!D20)</f>
        <v>0.37666666666666576</v>
      </c>
      <c r="AE20" s="68">
        <f>(E5b!F20-S20-(E5b!E20-R20))/(E5b!F20-E5b!E20)</f>
        <v>0.35000000000000031</v>
      </c>
      <c r="AF20" s="3">
        <f>(E5b!G20-T20-(E5b!F20-S20))/(E5b!G20-E5b!F20)</f>
        <v>0.40625</v>
      </c>
      <c r="AG20" s="3">
        <f>(E5b!H20-U20-(E5b!G20-T20))/(E5b!H20-E5b!G20)</f>
        <v>0.46666666666666667</v>
      </c>
      <c r="AH20" s="3">
        <f>(E5b!I20-V20-(E5b!H20-U20))/(E5b!I20-E5b!H20)</f>
        <v>0.6</v>
      </c>
      <c r="AI20" s="3">
        <f>(E5b!J20-W20-(E5b!I20-V20))/(E5b!J20-E5b!I20)</f>
        <v>0.7</v>
      </c>
      <c r="AJ20" s="3">
        <f>(E5b!K20-X20-(E5b!J20-W20))/(E5b!K20-E5b!J20)</f>
        <v>0.76666666666666672</v>
      </c>
      <c r="AK20" s="3">
        <f>(E5b!L20-Y20-(E5b!K20-X20))/(E5b!L20-E5b!K20)</f>
        <v>0.9</v>
      </c>
      <c r="AL20" s="3">
        <f>(E5b!M20-Z20-(E5b!L20-Y20))/(E5b!M20-E5b!L20)</f>
        <v>0.92500000000000004</v>
      </c>
    </row>
    <row r="21" spans="1:38" ht="15.75" customHeight="1" x14ac:dyDescent="0.25">
      <c r="A21" s="21">
        <v>2043</v>
      </c>
      <c r="B21" s="22">
        <f t="shared" si="1"/>
        <v>0</v>
      </c>
      <c r="C21" s="22">
        <f t="shared" si="2"/>
        <v>0</v>
      </c>
      <c r="D21" s="22">
        <f t="shared" si="3"/>
        <v>0.15</v>
      </c>
      <c r="E21" s="22">
        <f t="shared" si="4"/>
        <v>0.2</v>
      </c>
      <c r="F21" s="22">
        <f t="shared" si="5"/>
        <v>0.25</v>
      </c>
      <c r="G21" s="22">
        <f t="shared" si="6"/>
        <v>0.3</v>
      </c>
      <c r="H21" s="22">
        <f t="shared" si="7"/>
        <v>0.4</v>
      </c>
      <c r="I21" s="22">
        <f t="shared" si="8"/>
        <v>0.5</v>
      </c>
      <c r="J21" s="22">
        <f t="shared" si="9"/>
        <v>0.6</v>
      </c>
      <c r="K21" s="22">
        <f t="shared" si="10"/>
        <v>0.7</v>
      </c>
      <c r="L21" s="22">
        <f t="shared" si="11"/>
        <v>0.8</v>
      </c>
      <c r="M21" s="22">
        <f t="shared" si="12"/>
        <v>0.9</v>
      </c>
      <c r="N21" s="22"/>
      <c r="O21" s="2">
        <f>(1-B21)*E5b!B21</f>
        <v>3.466666666666665</v>
      </c>
      <c r="P21" s="2">
        <f>(1-C21)*E5b!C21</f>
        <v>4.93333333333333</v>
      </c>
      <c r="Q21" s="2">
        <f>(1-D21)*E5b!D21</f>
        <v>5.89333333333333</v>
      </c>
      <c r="R21" s="2">
        <f>(1-E21)*E5b!E21</f>
        <v>7.1466666666666701</v>
      </c>
      <c r="S21" s="2">
        <f>(1-F21)*E5b!F21</f>
        <v>10.050000000000004</v>
      </c>
      <c r="T21">
        <f>(1-G21)*E5b!G21</f>
        <v>14</v>
      </c>
      <c r="U21">
        <f>(1-H21)*E5b!H21</f>
        <v>30</v>
      </c>
      <c r="V21">
        <f>(1-I21)*E5b!I21</f>
        <v>50</v>
      </c>
      <c r="W21">
        <f>(1-J21)*E5b!J21</f>
        <v>80</v>
      </c>
      <c r="X21">
        <f>(1-K21)*E5b!K21</f>
        <v>150.00000000000003</v>
      </c>
      <c r="Y21">
        <f>(1-L21)*E5b!L21</f>
        <v>199.99999999999994</v>
      </c>
      <c r="Z21">
        <f>(1-M21)*E5b!M21</f>
        <v>499.99999999999989</v>
      </c>
      <c r="AA21">
        <v>2</v>
      </c>
      <c r="AB21" s="3">
        <f>(E5b!C21-P21-(E5b!B21-O21))/(E5b!C21-E5b!B21)</f>
        <v>0</v>
      </c>
      <c r="AC21" s="68">
        <f>(E5b!D21-Q21-(E5b!C21-P21))/(E5b!D21-E5b!C21)</f>
        <v>0.52</v>
      </c>
      <c r="AD21" s="68">
        <f>(E5b!E21-R21-(E5b!D21-Q21))/(E5b!E21-E5b!D21)</f>
        <v>0.37333333333333218</v>
      </c>
      <c r="AE21" s="68">
        <f>(E5b!F21-S21-(E5b!E21-R21))/(E5b!F21-E5b!E21)</f>
        <v>0.35000000000000009</v>
      </c>
      <c r="AF21" s="3">
        <f>(E5b!G21-T21-(E5b!F21-S21))/(E5b!G21-E5b!F21)</f>
        <v>0.40151515151515166</v>
      </c>
      <c r="AG21" s="3">
        <f>(E5b!H21-U21-(E5b!G21-T21))/(E5b!H21-E5b!G21)</f>
        <v>0.46666666666666667</v>
      </c>
      <c r="AH21" s="3">
        <f>(E5b!I21-V21-(E5b!H21-U21))/(E5b!I21-E5b!H21)</f>
        <v>0.6</v>
      </c>
      <c r="AI21" s="3">
        <f>(E5b!J21-W21-(E5b!I21-V21))/(E5b!J21-E5b!I21)</f>
        <v>0.7</v>
      </c>
      <c r="AJ21" s="3">
        <f>(E5b!K21-X21-(E5b!J21-W21))/(E5b!K21-E5b!J21)</f>
        <v>0.76666666666666672</v>
      </c>
      <c r="AK21" s="3">
        <f>(E5b!L21-Y21-(E5b!K21-X21))/(E5b!L21-E5b!K21)</f>
        <v>0.9</v>
      </c>
      <c r="AL21" s="3">
        <f>(E5b!M21-Z21-(E5b!L21-Y21))/(E5b!M21-E5b!L21)</f>
        <v>0.92500000000000004</v>
      </c>
    </row>
    <row r="22" spans="1:38" ht="15.75" customHeight="1" x14ac:dyDescent="0.25">
      <c r="A22" s="21">
        <v>2044</v>
      </c>
      <c r="B22" s="22">
        <f t="shared" si="1"/>
        <v>0</v>
      </c>
      <c r="C22" s="22">
        <f t="shared" si="2"/>
        <v>0</v>
      </c>
      <c r="D22" s="22">
        <f t="shared" si="3"/>
        <v>0.15</v>
      </c>
      <c r="E22" s="22">
        <f t="shared" si="4"/>
        <v>0.2</v>
      </c>
      <c r="F22" s="22">
        <f t="shared" si="5"/>
        <v>0.25</v>
      </c>
      <c r="G22" s="22">
        <f t="shared" si="6"/>
        <v>0.3</v>
      </c>
      <c r="H22" s="22">
        <f t="shared" si="7"/>
        <v>0.4</v>
      </c>
      <c r="I22" s="22">
        <f t="shared" si="8"/>
        <v>0.5</v>
      </c>
      <c r="J22" s="22">
        <f t="shared" si="9"/>
        <v>0.6</v>
      </c>
      <c r="K22" s="22">
        <f t="shared" si="10"/>
        <v>0.7</v>
      </c>
      <c r="L22" s="22">
        <f t="shared" si="11"/>
        <v>0.8</v>
      </c>
      <c r="M22" s="22">
        <f t="shared" si="12"/>
        <v>0.9</v>
      </c>
      <c r="N22" s="22"/>
      <c r="O22" s="2">
        <f>(1-B22)*E5b!B22</f>
        <v>3.3999999999999981</v>
      </c>
      <c r="P22" s="2">
        <f>(1-C22)*E5b!C22</f>
        <v>4.7999999999999963</v>
      </c>
      <c r="Q22" s="2">
        <f>(1-D22)*E5b!D22</f>
        <v>5.7799999999999967</v>
      </c>
      <c r="R22" s="2">
        <f>(1-E22)*E5b!E22</f>
        <v>7.0400000000000036</v>
      </c>
      <c r="S22" s="2">
        <f>(1-F22)*E5b!F22</f>
        <v>9.9000000000000057</v>
      </c>
      <c r="T22">
        <f>(1-G22)*E5b!G22</f>
        <v>14</v>
      </c>
      <c r="U22">
        <f>(1-H22)*E5b!H22</f>
        <v>30</v>
      </c>
      <c r="V22">
        <f>(1-I22)*E5b!I22</f>
        <v>50</v>
      </c>
      <c r="W22">
        <f>(1-J22)*E5b!J22</f>
        <v>80</v>
      </c>
      <c r="X22">
        <f>(1-K22)*E5b!K22</f>
        <v>150.00000000000003</v>
      </c>
      <c r="Y22">
        <f>(1-L22)*E5b!L22</f>
        <v>199.99999999999994</v>
      </c>
      <c r="Z22">
        <f>(1-M22)*E5b!M22</f>
        <v>499.99999999999989</v>
      </c>
      <c r="AA22">
        <v>2</v>
      </c>
      <c r="AB22" s="3">
        <f>(E5b!C22-P22-(E5b!B22-O22))/(E5b!C22-E5b!B22)</f>
        <v>0</v>
      </c>
      <c r="AC22" s="68">
        <f>(E5b!D22-Q22-(E5b!C22-P22))/(E5b!D22-E5b!C22)</f>
        <v>0.50999999999999979</v>
      </c>
      <c r="AD22" s="68">
        <f>(E5b!E22-R22-(E5b!D22-Q22))/(E5b!E22-E5b!D22)</f>
        <v>0.36999999999999905</v>
      </c>
      <c r="AE22" s="68">
        <f>(E5b!F22-S22-(E5b!E22-R22))/(E5b!F22-E5b!E22)</f>
        <v>0.34999999999999981</v>
      </c>
      <c r="AF22" s="3">
        <f>(E5b!G22-T22-(E5b!F22-S22))/(E5b!G22-E5b!F22)</f>
        <v>0.39705882352941202</v>
      </c>
      <c r="AG22" s="3">
        <f>(E5b!H22-U22-(E5b!G22-T22))/(E5b!H22-E5b!G22)</f>
        <v>0.46666666666666667</v>
      </c>
      <c r="AH22" s="3">
        <f>(E5b!I22-V22-(E5b!H22-U22))/(E5b!I22-E5b!H22)</f>
        <v>0.6</v>
      </c>
      <c r="AI22" s="3">
        <f>(E5b!J22-W22-(E5b!I22-V22))/(E5b!J22-E5b!I22)</f>
        <v>0.7</v>
      </c>
      <c r="AJ22" s="3">
        <f>(E5b!K22-X22-(E5b!J22-W22))/(E5b!K22-E5b!J22)</f>
        <v>0.76666666666666672</v>
      </c>
      <c r="AK22" s="3">
        <f>(E5b!L22-Y22-(E5b!K22-X22))/(E5b!L22-E5b!K22)</f>
        <v>0.9</v>
      </c>
      <c r="AL22" s="3">
        <f>(E5b!M22-Z22-(E5b!L22-Y22))/(E5b!M22-E5b!L22)</f>
        <v>0.92500000000000004</v>
      </c>
    </row>
    <row r="23" spans="1:38" ht="15.75" customHeight="1" x14ac:dyDescent="0.25">
      <c r="A23" s="21">
        <v>2045</v>
      </c>
      <c r="B23" s="22">
        <f t="shared" si="1"/>
        <v>0</v>
      </c>
      <c r="C23" s="22">
        <f t="shared" si="2"/>
        <v>0</v>
      </c>
      <c r="D23" s="22">
        <f t="shared" si="3"/>
        <v>0.15</v>
      </c>
      <c r="E23" s="22">
        <f t="shared" si="4"/>
        <v>0.2</v>
      </c>
      <c r="F23" s="22">
        <f t="shared" si="5"/>
        <v>0.25</v>
      </c>
      <c r="G23" s="22">
        <f t="shared" si="6"/>
        <v>0.3</v>
      </c>
      <c r="H23" s="22">
        <f t="shared" si="7"/>
        <v>0.4</v>
      </c>
      <c r="I23" s="22">
        <f t="shared" si="8"/>
        <v>0.5</v>
      </c>
      <c r="J23" s="22">
        <f t="shared" si="9"/>
        <v>0.6</v>
      </c>
      <c r="K23" s="22">
        <f t="shared" si="10"/>
        <v>0.7</v>
      </c>
      <c r="L23" s="22">
        <f t="shared" si="11"/>
        <v>0.8</v>
      </c>
      <c r="M23" s="22">
        <f t="shared" si="12"/>
        <v>0.9</v>
      </c>
      <c r="N23" s="22"/>
      <c r="O23" s="2">
        <f>(1-B23)*E5b!B23</f>
        <v>3.3333333333333313</v>
      </c>
      <c r="P23" s="2">
        <f>(1-C23)*E5b!C23</f>
        <v>4.6666666666666625</v>
      </c>
      <c r="Q23" s="2">
        <f>(1-D23)*E5b!D23</f>
        <v>5.6666666666666634</v>
      </c>
      <c r="R23" s="2">
        <f>(1-E23)*E5b!E23</f>
        <v>6.9333333333333371</v>
      </c>
      <c r="S23" s="2">
        <f>(1-F23)*E5b!F23</f>
        <v>9.7500000000000053</v>
      </c>
      <c r="T23">
        <f>(1-G23)*E5b!G23</f>
        <v>14</v>
      </c>
      <c r="U23">
        <f>(1-H23)*E5b!H23</f>
        <v>30</v>
      </c>
      <c r="V23">
        <f>(1-I23)*E5b!I23</f>
        <v>50</v>
      </c>
      <c r="W23">
        <f>(1-J23)*E5b!J23</f>
        <v>80</v>
      </c>
      <c r="X23">
        <f>(1-K23)*E5b!K23</f>
        <v>150.00000000000003</v>
      </c>
      <c r="Y23">
        <f>(1-L23)*E5b!L23</f>
        <v>199.99999999999994</v>
      </c>
      <c r="Z23">
        <f>(1-M23)*E5b!M23</f>
        <v>499.99999999999989</v>
      </c>
      <c r="AA23">
        <v>2</v>
      </c>
      <c r="AB23" s="3">
        <f>(E5b!C23-P23-(E5b!B23-O23))/(E5b!C23-E5b!B23)</f>
        <v>0</v>
      </c>
      <c r="AC23" s="68">
        <f>(E5b!D23-Q23-(E5b!C23-P23))/(E5b!D23-E5b!C23)</f>
        <v>0.49999999999999956</v>
      </c>
      <c r="AD23" s="68">
        <f>(E5b!E23-R23-(E5b!D23-Q23))/(E5b!E23-E5b!D23)</f>
        <v>0.36666666666666597</v>
      </c>
      <c r="AE23" s="68">
        <f>(E5b!F23-S23-(E5b!E23-R23))/(E5b!F23-E5b!E23)</f>
        <v>0.35</v>
      </c>
      <c r="AF23" s="3">
        <f>(E5b!G23-T23-(E5b!F23-S23))/(E5b!G23-E5b!F23)</f>
        <v>0.39285714285714302</v>
      </c>
      <c r="AG23" s="3">
        <f>(E5b!H23-U23-(E5b!G23-T23))/(E5b!H23-E5b!G23)</f>
        <v>0.46666666666666667</v>
      </c>
      <c r="AH23" s="3">
        <f>(E5b!I23-V23-(E5b!H23-U23))/(E5b!I23-E5b!H23)</f>
        <v>0.6</v>
      </c>
      <c r="AI23" s="3">
        <f>(E5b!J23-W23-(E5b!I23-V23))/(E5b!J23-E5b!I23)</f>
        <v>0.7</v>
      </c>
      <c r="AJ23" s="3">
        <f>(E5b!K23-X23-(E5b!J23-W23))/(E5b!K23-E5b!J23)</f>
        <v>0.76666666666666672</v>
      </c>
      <c r="AK23" s="3">
        <f>(E5b!L23-Y23-(E5b!K23-X23))/(E5b!L23-E5b!K23)</f>
        <v>0.9</v>
      </c>
      <c r="AL23" s="3">
        <f>(E5b!M23-Z23-(E5b!L23-Y23))/(E5b!M23-E5b!L23)</f>
        <v>0.92500000000000004</v>
      </c>
    </row>
    <row r="24" spans="1:38" ht="15.75" customHeight="1" x14ac:dyDescent="0.25">
      <c r="A24" s="21">
        <v>2046</v>
      </c>
      <c r="B24" s="22">
        <f t="shared" si="1"/>
        <v>0</v>
      </c>
      <c r="C24" s="22">
        <f t="shared" si="2"/>
        <v>0</v>
      </c>
      <c r="D24" s="22">
        <f t="shared" si="3"/>
        <v>0.15</v>
      </c>
      <c r="E24" s="22">
        <f t="shared" si="4"/>
        <v>0.2</v>
      </c>
      <c r="F24" s="22">
        <f t="shared" si="5"/>
        <v>0.25</v>
      </c>
      <c r="G24" s="22">
        <f t="shared" si="6"/>
        <v>0.3</v>
      </c>
      <c r="H24" s="22">
        <f t="shared" si="7"/>
        <v>0.4</v>
      </c>
      <c r="I24" s="22">
        <f t="shared" si="8"/>
        <v>0.5</v>
      </c>
      <c r="J24" s="22">
        <f t="shared" si="9"/>
        <v>0.6</v>
      </c>
      <c r="K24" s="22">
        <f t="shared" si="10"/>
        <v>0.7</v>
      </c>
      <c r="L24" s="22">
        <f t="shared" si="11"/>
        <v>0.8</v>
      </c>
      <c r="M24" s="22">
        <f t="shared" si="12"/>
        <v>0.9</v>
      </c>
      <c r="N24" s="22"/>
      <c r="O24" s="2">
        <f>(1-B24)*E5b!B24</f>
        <v>3.2666666666666644</v>
      </c>
      <c r="P24" s="2">
        <f>(1-C24)*E5b!C24</f>
        <v>4.5333333333333288</v>
      </c>
      <c r="Q24" s="2">
        <f>(1-D24)*E5b!D24</f>
        <v>5.5533333333333292</v>
      </c>
      <c r="R24" s="2">
        <f>(1-E24)*E5b!E24</f>
        <v>6.8266666666666715</v>
      </c>
      <c r="S24" s="2">
        <f>(1-F24)*E5b!F24</f>
        <v>9.600000000000005</v>
      </c>
      <c r="T24">
        <f>(1-G24)*E5b!G24</f>
        <v>14</v>
      </c>
      <c r="U24">
        <f>(1-H24)*E5b!H24</f>
        <v>30</v>
      </c>
      <c r="V24">
        <f>(1-I24)*E5b!I24</f>
        <v>50</v>
      </c>
      <c r="W24">
        <f>(1-J24)*E5b!J24</f>
        <v>80</v>
      </c>
      <c r="X24">
        <f>(1-K24)*E5b!K24</f>
        <v>150.00000000000003</v>
      </c>
      <c r="Y24">
        <f>(1-L24)*E5b!L24</f>
        <v>199.99999999999994</v>
      </c>
      <c r="Z24">
        <f>(1-M24)*E5b!M24</f>
        <v>499.99999999999989</v>
      </c>
      <c r="AA24">
        <v>2</v>
      </c>
      <c r="AB24" s="3">
        <f>(E5b!C24-P24-(E5b!B24-O24))/(E5b!C24-E5b!B24)</f>
        <v>0</v>
      </c>
      <c r="AC24" s="68">
        <f>(E5b!D24-Q24-(E5b!C24-P24))/(E5b!D24-E5b!C24)</f>
        <v>0.48999999999999977</v>
      </c>
      <c r="AD24" s="68">
        <f>(E5b!E24-R24-(E5b!D24-Q24))/(E5b!E24-E5b!D24)</f>
        <v>0.36333333333333195</v>
      </c>
      <c r="AE24" s="68">
        <f>(E5b!F24-S24-(E5b!E24-R24))/(E5b!F24-E5b!E24)</f>
        <v>0.35000000000000037</v>
      </c>
      <c r="AF24" s="3">
        <f>(E5b!G24-T24-(E5b!F24-S24))/(E5b!G24-E5b!F24)</f>
        <v>0.3888888888888889</v>
      </c>
      <c r="AG24" s="3">
        <f>(E5b!H24-U24-(E5b!G24-T24))/(E5b!H24-E5b!G24)</f>
        <v>0.46666666666666667</v>
      </c>
      <c r="AH24" s="3">
        <f>(E5b!I24-V24-(E5b!H24-U24))/(E5b!I24-E5b!H24)</f>
        <v>0.6</v>
      </c>
      <c r="AI24" s="3">
        <f>(E5b!J24-W24-(E5b!I24-V24))/(E5b!J24-E5b!I24)</f>
        <v>0.7</v>
      </c>
      <c r="AJ24" s="3">
        <f>(E5b!K24-X24-(E5b!J24-W24))/(E5b!K24-E5b!J24)</f>
        <v>0.76666666666666672</v>
      </c>
      <c r="AK24" s="3">
        <f>(E5b!L24-Y24-(E5b!K24-X24))/(E5b!L24-E5b!K24)</f>
        <v>0.9</v>
      </c>
      <c r="AL24" s="3">
        <f>(E5b!M24-Z24-(E5b!L24-Y24))/(E5b!M24-E5b!L24)</f>
        <v>0.92500000000000004</v>
      </c>
    </row>
    <row r="25" spans="1:38" ht="15.75" customHeight="1" x14ac:dyDescent="0.25">
      <c r="A25" s="21">
        <v>2047</v>
      </c>
      <c r="B25" s="22">
        <f t="shared" si="1"/>
        <v>0</v>
      </c>
      <c r="C25" s="22">
        <f t="shared" si="2"/>
        <v>0</v>
      </c>
      <c r="D25" s="22">
        <f t="shared" si="3"/>
        <v>0.15</v>
      </c>
      <c r="E25" s="22">
        <f t="shared" si="4"/>
        <v>0.2</v>
      </c>
      <c r="F25" s="22">
        <f t="shared" si="5"/>
        <v>0.25</v>
      </c>
      <c r="G25" s="22">
        <f t="shared" si="6"/>
        <v>0.3</v>
      </c>
      <c r="H25" s="22">
        <f t="shared" si="7"/>
        <v>0.4</v>
      </c>
      <c r="I25" s="22">
        <f t="shared" si="8"/>
        <v>0.5</v>
      </c>
      <c r="J25" s="22">
        <f t="shared" si="9"/>
        <v>0.6</v>
      </c>
      <c r="K25" s="22">
        <f t="shared" si="10"/>
        <v>0.7</v>
      </c>
      <c r="L25" s="22">
        <f t="shared" si="11"/>
        <v>0.8</v>
      </c>
      <c r="M25" s="22">
        <f t="shared" si="12"/>
        <v>0.9</v>
      </c>
      <c r="N25" s="22"/>
      <c r="O25" s="2">
        <f>(1-B25)*E5b!B25</f>
        <v>3.1999999999999975</v>
      </c>
      <c r="P25" s="2">
        <f>(1-C25)*E5b!C25</f>
        <v>4.399999999999995</v>
      </c>
      <c r="Q25" s="2">
        <f>(1-D25)*E5b!D25</f>
        <v>5.4399999999999959</v>
      </c>
      <c r="R25" s="2">
        <f>(1-E25)*E5b!E25</f>
        <v>6.7200000000000051</v>
      </c>
      <c r="S25" s="2">
        <f>(1-F25)*E5b!F25</f>
        <v>9.4500000000000064</v>
      </c>
      <c r="T25">
        <f>(1-G25)*E5b!G25</f>
        <v>14</v>
      </c>
      <c r="U25">
        <f>(1-H25)*E5b!H25</f>
        <v>30</v>
      </c>
      <c r="V25">
        <f>(1-I25)*E5b!I25</f>
        <v>50</v>
      </c>
      <c r="W25">
        <f>(1-J25)*E5b!J25</f>
        <v>80</v>
      </c>
      <c r="X25">
        <f>(1-K25)*E5b!K25</f>
        <v>150.00000000000003</v>
      </c>
      <c r="Y25">
        <f>(1-L25)*E5b!L25</f>
        <v>199.99999999999994</v>
      </c>
      <c r="Z25">
        <f>(1-M25)*E5b!M25</f>
        <v>499.99999999999989</v>
      </c>
      <c r="AA25">
        <v>2</v>
      </c>
      <c r="AB25" s="3">
        <f>(E5b!C25-P25-(E5b!B25-O25))/(E5b!C25-E5b!B25)</f>
        <v>0</v>
      </c>
      <c r="AC25" s="68">
        <f>(E5b!D25-Q25-(E5b!C25-P25))/(E5b!D25-E5b!C25)</f>
        <v>0.47999999999999954</v>
      </c>
      <c r="AD25" s="68">
        <f>(E5b!E25-R25-(E5b!D25-Q25))/(E5b!E25-E5b!D25)</f>
        <v>0.35999999999999882</v>
      </c>
      <c r="AE25" s="68">
        <f>(E5b!F25-S25-(E5b!E25-R25))/(E5b!F25-E5b!E25)</f>
        <v>0.35000000000000014</v>
      </c>
      <c r="AF25" s="3">
        <f>(E5b!G25-T25-(E5b!F25-S25))/(E5b!G25-E5b!F25)</f>
        <v>0.38513513513513531</v>
      </c>
      <c r="AG25" s="3">
        <f>(E5b!H25-U25-(E5b!G25-T25))/(E5b!H25-E5b!G25)</f>
        <v>0.46666666666666667</v>
      </c>
      <c r="AH25" s="3">
        <f>(E5b!I25-V25-(E5b!H25-U25))/(E5b!I25-E5b!H25)</f>
        <v>0.6</v>
      </c>
      <c r="AI25" s="3">
        <f>(E5b!J25-W25-(E5b!I25-V25))/(E5b!J25-E5b!I25)</f>
        <v>0.7</v>
      </c>
      <c r="AJ25" s="3">
        <f>(E5b!K25-X25-(E5b!J25-W25))/(E5b!K25-E5b!J25)</f>
        <v>0.76666666666666672</v>
      </c>
      <c r="AK25" s="3">
        <f>(E5b!L25-Y25-(E5b!K25-X25))/(E5b!L25-E5b!K25)</f>
        <v>0.9</v>
      </c>
      <c r="AL25" s="3">
        <f>(E5b!M25-Z25-(E5b!L25-Y25))/(E5b!M25-E5b!L25)</f>
        <v>0.92500000000000004</v>
      </c>
    </row>
    <row r="26" spans="1:38" ht="15.75" customHeight="1" x14ac:dyDescent="0.25">
      <c r="A26" s="21">
        <v>2048</v>
      </c>
      <c r="B26" s="22">
        <f t="shared" si="1"/>
        <v>0</v>
      </c>
      <c r="C26" s="22">
        <f t="shared" si="2"/>
        <v>0</v>
      </c>
      <c r="D26" s="22">
        <f t="shared" si="3"/>
        <v>0.15</v>
      </c>
      <c r="E26" s="22">
        <f t="shared" si="4"/>
        <v>0.2</v>
      </c>
      <c r="F26" s="22">
        <f t="shared" si="5"/>
        <v>0.25</v>
      </c>
      <c r="G26" s="22">
        <f t="shared" si="6"/>
        <v>0.3</v>
      </c>
      <c r="H26" s="22">
        <f t="shared" si="7"/>
        <v>0.4</v>
      </c>
      <c r="I26" s="22">
        <f t="shared" si="8"/>
        <v>0.5</v>
      </c>
      <c r="J26" s="22">
        <f t="shared" si="9"/>
        <v>0.6</v>
      </c>
      <c r="K26" s="22">
        <f t="shared" si="10"/>
        <v>0.7</v>
      </c>
      <c r="L26" s="22">
        <f t="shared" si="11"/>
        <v>0.8</v>
      </c>
      <c r="M26" s="22">
        <f t="shared" si="12"/>
        <v>0.9</v>
      </c>
      <c r="N26" s="22"/>
      <c r="O26" s="2">
        <f>(1-B26)*E5b!B26</f>
        <v>3.1333333333333306</v>
      </c>
      <c r="P26" s="2">
        <f>(1-C26)*E5b!C26</f>
        <v>4.2666666666666613</v>
      </c>
      <c r="Q26" s="2">
        <f>(1-D26)*E5b!D26</f>
        <v>5.3266666666666618</v>
      </c>
      <c r="R26" s="2">
        <f>(1-E26)*E5b!E26</f>
        <v>6.6133333333333386</v>
      </c>
      <c r="S26" s="2">
        <f>(1-F26)*E5b!F26</f>
        <v>9.3000000000000078</v>
      </c>
      <c r="T26">
        <f>(1-G26)*E5b!G26</f>
        <v>14</v>
      </c>
      <c r="U26">
        <f>(1-H26)*E5b!H26</f>
        <v>30</v>
      </c>
      <c r="V26">
        <f>(1-I26)*E5b!I26</f>
        <v>50</v>
      </c>
      <c r="W26">
        <f>(1-J26)*E5b!J26</f>
        <v>80</v>
      </c>
      <c r="X26">
        <f>(1-K26)*E5b!K26</f>
        <v>150.00000000000003</v>
      </c>
      <c r="Y26">
        <f>(1-L26)*E5b!L26</f>
        <v>199.99999999999994</v>
      </c>
      <c r="Z26">
        <f>(1-M26)*E5b!M26</f>
        <v>499.99999999999989</v>
      </c>
      <c r="AA26">
        <v>2</v>
      </c>
      <c r="AB26" s="3">
        <f>(E5b!C26-P26-(E5b!B26-O26))/(E5b!C26-E5b!B26)</f>
        <v>0</v>
      </c>
      <c r="AC26" s="68">
        <f>(E5b!D26-Q26-(E5b!C26-P26))/(E5b!D26-E5b!C26)</f>
        <v>0.46999999999999975</v>
      </c>
      <c r="AD26" s="68">
        <f>(E5b!E26-R26-(E5b!D26-Q26))/(E5b!E26-E5b!D26)</f>
        <v>0.3566666666666653</v>
      </c>
      <c r="AE26" s="68">
        <f>(E5b!F26-S26-(E5b!E26-R26))/(E5b!F26-E5b!E26)</f>
        <v>0.34999999999999987</v>
      </c>
      <c r="AF26" s="3">
        <f>(E5b!G26-T26-(E5b!F26-S26))/(E5b!G26-E5b!F26)</f>
        <v>0.38157894736842135</v>
      </c>
      <c r="AG26" s="3">
        <f>(E5b!H26-U26-(E5b!G26-T26))/(E5b!H26-E5b!G26)</f>
        <v>0.46666666666666667</v>
      </c>
      <c r="AH26" s="3">
        <f>(E5b!I26-V26-(E5b!H26-U26))/(E5b!I26-E5b!H26)</f>
        <v>0.6</v>
      </c>
      <c r="AI26" s="3">
        <f>(E5b!J26-W26-(E5b!I26-V26))/(E5b!J26-E5b!I26)</f>
        <v>0.7</v>
      </c>
      <c r="AJ26" s="3">
        <f>(E5b!K26-X26-(E5b!J26-W26))/(E5b!K26-E5b!J26)</f>
        <v>0.76666666666666672</v>
      </c>
      <c r="AK26" s="3">
        <f>(E5b!L26-Y26-(E5b!K26-X26))/(E5b!L26-E5b!K26)</f>
        <v>0.9</v>
      </c>
      <c r="AL26" s="3">
        <f>(E5b!M26-Z26-(E5b!L26-Y26))/(E5b!M26-E5b!L26)</f>
        <v>0.92500000000000004</v>
      </c>
    </row>
    <row r="27" spans="1:38" ht="15.75" customHeight="1" x14ac:dyDescent="0.25">
      <c r="A27" s="21">
        <v>2049</v>
      </c>
      <c r="B27" s="22">
        <f t="shared" si="1"/>
        <v>0</v>
      </c>
      <c r="C27" s="22">
        <f t="shared" si="2"/>
        <v>0</v>
      </c>
      <c r="D27" s="22">
        <f t="shared" si="3"/>
        <v>0.15</v>
      </c>
      <c r="E27" s="22">
        <f t="shared" si="4"/>
        <v>0.2</v>
      </c>
      <c r="F27" s="22">
        <f t="shared" si="5"/>
        <v>0.25</v>
      </c>
      <c r="G27" s="22">
        <f t="shared" si="6"/>
        <v>0.3</v>
      </c>
      <c r="H27" s="22">
        <f t="shared" si="7"/>
        <v>0.4</v>
      </c>
      <c r="I27" s="22">
        <f t="shared" si="8"/>
        <v>0.5</v>
      </c>
      <c r="J27" s="22">
        <f t="shared" si="9"/>
        <v>0.6</v>
      </c>
      <c r="K27" s="22">
        <f t="shared" si="10"/>
        <v>0.7</v>
      </c>
      <c r="L27" s="22">
        <f t="shared" si="11"/>
        <v>0.8</v>
      </c>
      <c r="M27" s="22">
        <f t="shared" si="12"/>
        <v>0.9</v>
      </c>
      <c r="N27" s="22"/>
      <c r="O27" s="2">
        <f>(1-B27)*E5b!B27</f>
        <v>3.0666666666666638</v>
      </c>
      <c r="P27" s="2">
        <f>(1-C27)*E5b!C27</f>
        <v>4.1333333333333275</v>
      </c>
      <c r="Q27" s="2">
        <f>(1-D27)*E5b!D27</f>
        <v>5.2133333333333285</v>
      </c>
      <c r="R27" s="2">
        <f>(1-E27)*E5b!E27</f>
        <v>6.5066666666666721</v>
      </c>
      <c r="S27" s="2">
        <f>(1-F27)*E5b!F27</f>
        <v>9.1500000000000075</v>
      </c>
      <c r="T27">
        <f>(1-G27)*E5b!G27</f>
        <v>14</v>
      </c>
      <c r="U27">
        <f>(1-H27)*E5b!H27</f>
        <v>30</v>
      </c>
      <c r="V27">
        <f>(1-I27)*E5b!I27</f>
        <v>50</v>
      </c>
      <c r="W27">
        <f>(1-J27)*E5b!J27</f>
        <v>80</v>
      </c>
      <c r="X27">
        <f>(1-K27)*E5b!K27</f>
        <v>150.00000000000003</v>
      </c>
      <c r="Y27">
        <f>(1-L27)*E5b!L27</f>
        <v>199.99999999999994</v>
      </c>
      <c r="Z27">
        <f>(1-M27)*E5b!M27</f>
        <v>499.99999999999989</v>
      </c>
      <c r="AA27">
        <v>2</v>
      </c>
      <c r="AB27" s="3">
        <f>(E5b!C27-P27-(E5b!B27-O27))/(E5b!C27-E5b!B27)</f>
        <v>0</v>
      </c>
      <c r="AC27" s="68">
        <f>(E5b!D27-Q27-(E5b!C27-P27))/(E5b!D27-E5b!C27)</f>
        <v>0.45999999999999952</v>
      </c>
      <c r="AD27" s="68">
        <f>(E5b!E27-R27-(E5b!D27-Q27))/(E5b!E27-E5b!D27)</f>
        <v>0.35333333333333217</v>
      </c>
      <c r="AE27" s="68">
        <f>(E5b!F27-S27-(E5b!E27-R27))/(E5b!F27-E5b!E27)</f>
        <v>0.35000000000000003</v>
      </c>
      <c r="AF27" s="3">
        <f>(E5b!G27-T27-(E5b!F27-S27))/(E5b!G27-E5b!F27)</f>
        <v>0.37820512820512836</v>
      </c>
      <c r="AG27" s="3">
        <f>(E5b!H27-U27-(E5b!G27-T27))/(E5b!H27-E5b!G27)</f>
        <v>0.46666666666666667</v>
      </c>
      <c r="AH27" s="3">
        <f>(E5b!I27-V27-(E5b!H27-U27))/(E5b!I27-E5b!H27)</f>
        <v>0.6</v>
      </c>
      <c r="AI27" s="3">
        <f>(E5b!J27-W27-(E5b!I27-V27))/(E5b!J27-E5b!I27)</f>
        <v>0.7</v>
      </c>
      <c r="AJ27" s="3">
        <f>(E5b!K27-X27-(E5b!J27-W27))/(E5b!K27-E5b!J27)</f>
        <v>0.76666666666666672</v>
      </c>
      <c r="AK27" s="3">
        <f>(E5b!L27-Y27-(E5b!K27-X27))/(E5b!L27-E5b!K27)</f>
        <v>0.9</v>
      </c>
      <c r="AL27" s="3">
        <f>(E5b!M27-Z27-(E5b!L27-Y27))/(E5b!M27-E5b!L27)</f>
        <v>0.92500000000000004</v>
      </c>
    </row>
    <row r="28" spans="1:38" ht="15.75" customHeight="1" x14ac:dyDescent="0.25">
      <c r="A28" s="21">
        <v>2050</v>
      </c>
      <c r="B28" s="30">
        <v>0</v>
      </c>
      <c r="C28" s="30">
        <v>0</v>
      </c>
      <c r="D28" s="30">
        <v>0.15</v>
      </c>
      <c r="E28" s="30">
        <v>0.2</v>
      </c>
      <c r="F28" s="30">
        <v>0.25</v>
      </c>
      <c r="G28" s="30">
        <v>0.3</v>
      </c>
      <c r="H28" s="30">
        <v>0.4</v>
      </c>
      <c r="I28" s="30">
        <v>0.5</v>
      </c>
      <c r="J28" s="30">
        <v>0.6</v>
      </c>
      <c r="K28" s="30">
        <v>0.7</v>
      </c>
      <c r="L28" s="30">
        <v>0.8</v>
      </c>
      <c r="M28" s="30">
        <v>0.9</v>
      </c>
      <c r="N28" s="30"/>
      <c r="O28" s="71">
        <f>(1-B28)*E5b!B28</f>
        <v>3</v>
      </c>
      <c r="P28" s="71">
        <f>(1-C28)*E5b!C28</f>
        <v>4</v>
      </c>
      <c r="Q28" s="2">
        <f>(1-D28)*E5b!D28</f>
        <v>5.0999999999999996</v>
      </c>
      <c r="R28" s="2">
        <f>(1-E28)*E5b!E28</f>
        <v>6.4</v>
      </c>
      <c r="S28" s="2">
        <f>(1-F28)*E5b!F28</f>
        <v>9</v>
      </c>
      <c r="T28">
        <f>(1-G28)*E5b!G28</f>
        <v>14</v>
      </c>
      <c r="U28">
        <f>(1-H28)*E5b!H28</f>
        <v>30</v>
      </c>
      <c r="V28">
        <f>(1-I28)*E5b!I28</f>
        <v>50</v>
      </c>
      <c r="W28">
        <f>(1-J28)*E5b!J28</f>
        <v>80</v>
      </c>
      <c r="X28">
        <f>(1-K28)*E5b!K28</f>
        <v>150.00000000000003</v>
      </c>
      <c r="Y28">
        <f>(1-L28)*E5b!L28</f>
        <v>199.99999999999994</v>
      </c>
      <c r="Z28">
        <f>(1-M28)*E5b!M28</f>
        <v>499.99999999999989</v>
      </c>
      <c r="AA28">
        <v>1</v>
      </c>
      <c r="AB28" s="3">
        <f>(E5b!C28-P28-(E5b!B28-O28))/(E5b!C28-E5b!B28)</f>
        <v>0</v>
      </c>
      <c r="AC28" s="68">
        <f>(E5b!D28-Q28-(E5b!C28-P28))/(E5b!D28-E5b!C28)</f>
        <v>0.45000000000000018</v>
      </c>
      <c r="AD28" s="68">
        <f>(E5b!E28-R28-(E5b!D28-Q28))/(E5b!E28-E5b!D28)</f>
        <v>0.34999999999999964</v>
      </c>
      <c r="AE28" s="3">
        <f>(E5b!F28-S28-(E5b!E28-R28))/(E5b!F28-E5b!E28)</f>
        <v>0.35000000000000009</v>
      </c>
      <c r="AF28" s="3">
        <f>(E5b!G28-T28-(E5b!F28-S28))/(E5b!G28-E5b!F28)</f>
        <v>0.375</v>
      </c>
      <c r="AG28" s="3">
        <f>(E5b!H28-U28-(E5b!G28-T28))/(E5b!H28-E5b!G28)</f>
        <v>0.46666666666666667</v>
      </c>
      <c r="AH28" s="3">
        <f>(E5b!I28-V28-(E5b!H28-U28))/(E5b!I28-E5b!H28)</f>
        <v>0.6</v>
      </c>
      <c r="AI28" s="3">
        <f>(E5b!J28-W28-(E5b!I28-V28))/(E5b!J28-E5b!I28)</f>
        <v>0.7</v>
      </c>
      <c r="AJ28" s="3">
        <f>(E5b!K28-X28-(E5b!J28-W28))/(E5b!K28-E5b!J28)</f>
        <v>0.76666666666666672</v>
      </c>
      <c r="AK28" s="3">
        <f>(E5b!L28-Y28-(E5b!K28-X28))/(E5b!L28-E5b!K28)</f>
        <v>0.9</v>
      </c>
      <c r="AL28" s="3">
        <f>(E5b!M28-Z28-(E5b!L28-Y28))/(E5b!M28-E5b!L28)</f>
        <v>0.92500000000000004</v>
      </c>
    </row>
    <row r="29" spans="1:38" ht="15.75" customHeight="1" x14ac:dyDescent="0.25">
      <c r="A29" s="21">
        <v>2051</v>
      </c>
      <c r="B29" s="22">
        <f t="shared" ref="B29:B47" si="13">B28+(B$48-B$28)/20</f>
        <v>0</v>
      </c>
      <c r="C29" s="22">
        <f t="shared" ref="C29:C47" si="14">C28+(C$48-C$28)/20</f>
        <v>0</v>
      </c>
      <c r="D29" s="22">
        <f t="shared" ref="D29:D47" si="15">D28+(D$48-D$28)/20</f>
        <v>0.1525</v>
      </c>
      <c r="E29" s="22">
        <f t="shared" ref="E29:E47" si="16">E28+(E$48-E$28)/20</f>
        <v>0.20250000000000001</v>
      </c>
      <c r="F29" s="22">
        <f t="shared" ref="F29:F47" si="17">F28+(F$48-F$28)/20</f>
        <v>0.2525</v>
      </c>
      <c r="G29" s="22">
        <f t="shared" ref="G29:G47" si="18">G28+(G$48-G$28)/20</f>
        <v>0.30499999999999999</v>
      </c>
      <c r="H29" s="22">
        <f t="shared" ref="H29:H47" si="19">H28+(H$48-H$28)/20</f>
        <v>0.40500000000000003</v>
      </c>
      <c r="I29" s="22">
        <f t="shared" ref="I29:I47" si="20">I28+(I$48-I$28)/20</f>
        <v>0.505</v>
      </c>
      <c r="J29" s="22">
        <f t="shared" ref="J29:J47" si="21">J28+(J$48-J$28)/20</f>
        <v>0.60499999999999998</v>
      </c>
      <c r="K29" s="22">
        <f t="shared" ref="K29:K47" si="22">K28+(K$48-K$28)/20</f>
        <v>0.7024999999999999</v>
      </c>
      <c r="L29" s="22">
        <f t="shared" ref="L29:L47" si="23">L28+(L$48-L$28)/20</f>
        <v>0.8</v>
      </c>
      <c r="M29" s="22">
        <f t="shared" ref="M29:M47" si="24">M28+(M$48-M$28)/20</f>
        <v>0.9</v>
      </c>
      <c r="N29" s="22"/>
      <c r="O29" s="71">
        <f>(1-B29)*E5b!B29</f>
        <v>3</v>
      </c>
      <c r="P29" s="71">
        <f>(1-C29)*E5b!C29</f>
        <v>4</v>
      </c>
      <c r="Q29" s="2">
        <f>(1-D29)*E5b!D29</f>
        <v>5.0426250000000001</v>
      </c>
      <c r="R29" s="2">
        <f>(1-E29)*E5b!E29</f>
        <v>6.3401250000000005</v>
      </c>
      <c r="S29" s="2">
        <f>(1-F29)*E5b!F29</f>
        <v>8.8952500000000008</v>
      </c>
      <c r="T29">
        <f>(1-G29)*E5b!G29</f>
        <v>13.900000000000002</v>
      </c>
      <c r="U29">
        <f>(1-H29)*E5b!H29</f>
        <v>29.75</v>
      </c>
      <c r="V29">
        <f>(1-I29)*E5b!I29</f>
        <v>49.5</v>
      </c>
      <c r="W29">
        <f>(1-J29)*E5b!J29</f>
        <v>79</v>
      </c>
      <c r="X29">
        <f>(1-K29)*E5b!K29</f>
        <v>148.75000000000006</v>
      </c>
      <c r="Y29">
        <f>(1-L29)*E5b!L29</f>
        <v>199.99999999999994</v>
      </c>
      <c r="Z29">
        <f>(1-M29)*E5b!M29</f>
        <v>499.99999999999989</v>
      </c>
      <c r="AA29">
        <v>1</v>
      </c>
      <c r="AB29" s="3">
        <f>(E5b!C29-P29-(E5b!B29-O29))/(E5b!C29-E5b!B29)</f>
        <v>0</v>
      </c>
      <c r="AC29" s="68">
        <f>(E5b!D29-Q29-(E5b!C29-P29))/(E5b!D29-E5b!C29)</f>
        <v>0.46532051282051279</v>
      </c>
      <c r="AD29" s="68">
        <f>(E5b!E29-R29-(E5b!D29-Q29))/(E5b!E29-E5b!D29)</f>
        <v>0.35124999999999984</v>
      </c>
      <c r="AE29" s="3">
        <f>(E5b!F29-S29-(E5b!E29-R29))/(E5b!F29-E5b!E29)</f>
        <v>0.35313291139240499</v>
      </c>
      <c r="AF29" s="3">
        <f>(E5b!G29-T29-(E5b!F29-S29))/(E5b!G29-E5b!F29)</f>
        <v>0.38212962962962943</v>
      </c>
      <c r="AG29" s="3">
        <f>(E5b!H29-U29-(E5b!G29-T29))/(E5b!H29-E5b!G29)</f>
        <v>0.47166666666666673</v>
      </c>
      <c r="AH29" s="3">
        <f>(E5b!I29-V29-(E5b!H29-U29))/(E5b!I29-E5b!H29)</f>
        <v>0.60499999999999998</v>
      </c>
      <c r="AI29" s="3">
        <f>(E5b!J29-W29-(E5b!I29-V29))/(E5b!J29-E5b!I29)</f>
        <v>0.70499999999999996</v>
      </c>
      <c r="AJ29" s="3">
        <f>(E5b!K29-X29-(E5b!J29-W29))/(E5b!K29-E5b!J29)</f>
        <v>0.76749999999999985</v>
      </c>
      <c r="AK29" s="3">
        <f>(E5b!L29-Y29-(E5b!K29-X29))/(E5b!L29-E5b!K29)</f>
        <v>0.89750000000000008</v>
      </c>
      <c r="AL29" s="3">
        <f>(E5b!M29-Z29-(E5b!L29-Y29))/(E5b!M29-E5b!L29)</f>
        <v>0.92500000000000004</v>
      </c>
    </row>
    <row r="30" spans="1:38" ht="15.75" customHeight="1" x14ac:dyDescent="0.25">
      <c r="A30" s="21">
        <v>2052</v>
      </c>
      <c r="B30" s="22">
        <f t="shared" si="13"/>
        <v>0</v>
      </c>
      <c r="C30" s="22">
        <f t="shared" si="14"/>
        <v>0</v>
      </c>
      <c r="D30" s="22">
        <f t="shared" si="15"/>
        <v>0.155</v>
      </c>
      <c r="E30" s="22">
        <f t="shared" si="16"/>
        <v>0.20500000000000002</v>
      </c>
      <c r="F30" s="22">
        <f t="shared" si="17"/>
        <v>0.255</v>
      </c>
      <c r="G30" s="22">
        <f t="shared" si="18"/>
        <v>0.31</v>
      </c>
      <c r="H30" s="22">
        <f t="shared" si="19"/>
        <v>0.41000000000000003</v>
      </c>
      <c r="I30" s="22">
        <f t="shared" si="20"/>
        <v>0.51</v>
      </c>
      <c r="J30" s="22">
        <f t="shared" si="21"/>
        <v>0.61</v>
      </c>
      <c r="K30" s="22">
        <f t="shared" si="22"/>
        <v>0.70499999999999985</v>
      </c>
      <c r="L30" s="22">
        <f t="shared" si="23"/>
        <v>0.8</v>
      </c>
      <c r="M30" s="22">
        <f t="shared" si="24"/>
        <v>0.9</v>
      </c>
      <c r="N30" s="22"/>
      <c r="O30" s="71">
        <f>(1-B30)*E5b!B30</f>
        <v>3</v>
      </c>
      <c r="P30" s="71">
        <f>(1-C30)*E5b!C30</f>
        <v>4</v>
      </c>
      <c r="Q30" s="2">
        <f>(1-D30)*E5b!D30</f>
        <v>4.9855</v>
      </c>
      <c r="R30" s="2">
        <f>(1-E30)*E5b!E30</f>
        <v>6.2805</v>
      </c>
      <c r="S30" s="2">
        <f>(1-F30)*E5b!F30</f>
        <v>8.7910000000000004</v>
      </c>
      <c r="T30">
        <f>(1-G30)*E5b!G30</f>
        <v>13.799999999999999</v>
      </c>
      <c r="U30">
        <f>(1-H30)*E5b!H30</f>
        <v>29.5</v>
      </c>
      <c r="V30">
        <f>(1-I30)*E5b!I30</f>
        <v>49</v>
      </c>
      <c r="W30">
        <f>(1-J30)*E5b!J30</f>
        <v>78</v>
      </c>
      <c r="X30">
        <f>(1-K30)*E5b!K30</f>
        <v>147.50000000000009</v>
      </c>
      <c r="Y30">
        <f>(1-L30)*E5b!L30</f>
        <v>199.99999999999994</v>
      </c>
      <c r="Z30">
        <f>(1-M30)*E5b!M30</f>
        <v>499.99999999999989</v>
      </c>
      <c r="AA30">
        <v>1</v>
      </c>
      <c r="AB30" s="3">
        <f>(E5b!C30-P30-(E5b!B30-O30))/(E5b!C30-E5b!B30)</f>
        <v>0</v>
      </c>
      <c r="AC30" s="68">
        <f>(E5b!D30-Q30-(E5b!C30-P30))/(E5b!D30-E5b!C30)</f>
        <v>0.48131578947368431</v>
      </c>
      <c r="AD30" s="68">
        <f>(E5b!E30-R30-(E5b!D30-Q30))/(E5b!E30-E5b!D30)</f>
        <v>0.35250000000000004</v>
      </c>
      <c r="AE30" s="3">
        <f>(E5b!F30-S30-(E5b!E30-R30))/(E5b!F30-E5b!E30)</f>
        <v>0.35628205128205126</v>
      </c>
      <c r="AF30" s="3">
        <f>(E5b!G30-T30-(E5b!F30-S30))/(E5b!G30-E5b!F30)</f>
        <v>0.38914634146341476</v>
      </c>
      <c r="AG30" s="3">
        <f>(E5b!H30-U30-(E5b!G30-T30))/(E5b!H30-E5b!G30)</f>
        <v>0.47666666666666663</v>
      </c>
      <c r="AH30" s="3">
        <f>(E5b!I30-V30-(E5b!H30-U30))/(E5b!I30-E5b!H30)</f>
        <v>0.61</v>
      </c>
      <c r="AI30" s="3">
        <f>(E5b!J30-W30-(E5b!I30-V30))/(E5b!J30-E5b!I30)</f>
        <v>0.71</v>
      </c>
      <c r="AJ30" s="3">
        <f>(E5b!K30-X30-(E5b!J30-W30))/(E5b!K30-E5b!J30)</f>
        <v>0.76833333333333298</v>
      </c>
      <c r="AK30" s="3">
        <f>(E5b!L30-Y30-(E5b!K30-X30))/(E5b!L30-E5b!K30)</f>
        <v>0.89500000000000024</v>
      </c>
      <c r="AL30" s="3">
        <f>(E5b!M30-Z30-(E5b!L30-Y30))/(E5b!M30-E5b!L30)</f>
        <v>0.92500000000000004</v>
      </c>
    </row>
    <row r="31" spans="1:38" ht="15.75" customHeight="1" x14ac:dyDescent="0.25">
      <c r="A31" s="21">
        <v>2053</v>
      </c>
      <c r="B31" s="22">
        <f t="shared" si="13"/>
        <v>0</v>
      </c>
      <c r="C31" s="22">
        <f t="shared" si="14"/>
        <v>0</v>
      </c>
      <c r="D31" s="22">
        <f t="shared" si="15"/>
        <v>0.1575</v>
      </c>
      <c r="E31" s="22">
        <f t="shared" si="16"/>
        <v>0.20750000000000002</v>
      </c>
      <c r="F31" s="22">
        <f t="shared" si="17"/>
        <v>0.25750000000000001</v>
      </c>
      <c r="G31" s="22">
        <f t="shared" si="18"/>
        <v>0.315</v>
      </c>
      <c r="H31" s="22">
        <f t="shared" si="19"/>
        <v>0.41500000000000004</v>
      </c>
      <c r="I31" s="22">
        <f t="shared" si="20"/>
        <v>0.51500000000000001</v>
      </c>
      <c r="J31" s="22">
        <f t="shared" si="21"/>
        <v>0.61499999999999999</v>
      </c>
      <c r="K31" s="22">
        <f t="shared" si="22"/>
        <v>0.7074999999999998</v>
      </c>
      <c r="L31" s="22">
        <f t="shared" si="23"/>
        <v>0.8</v>
      </c>
      <c r="M31" s="22">
        <f t="shared" si="24"/>
        <v>0.9</v>
      </c>
      <c r="N31" s="22"/>
      <c r="O31" s="71">
        <f>(1-B31)*E5b!B31</f>
        <v>3</v>
      </c>
      <c r="P31" s="71">
        <f>(1-C31)*E5b!C31</f>
        <v>4</v>
      </c>
      <c r="Q31" s="2">
        <f>(1-D31)*E5b!D31</f>
        <v>4.9286250000000003</v>
      </c>
      <c r="R31" s="2">
        <f>(1-E31)*E5b!E31</f>
        <v>6.2211250000000007</v>
      </c>
      <c r="S31" s="2">
        <f>(1-F31)*E5b!F31</f>
        <v>8.6872500000000006</v>
      </c>
      <c r="T31">
        <f>(1-G31)*E5b!G31</f>
        <v>13.700000000000001</v>
      </c>
      <c r="U31">
        <f>(1-H31)*E5b!H31</f>
        <v>29.25</v>
      </c>
      <c r="V31">
        <f>(1-I31)*E5b!I31</f>
        <v>48.5</v>
      </c>
      <c r="W31">
        <f>(1-J31)*E5b!J31</f>
        <v>77</v>
      </c>
      <c r="X31">
        <f>(1-K31)*E5b!K31</f>
        <v>146.25000000000011</v>
      </c>
      <c r="Y31">
        <f>(1-L31)*E5b!L31</f>
        <v>199.99999999999994</v>
      </c>
      <c r="Z31">
        <f>(1-M31)*E5b!M31</f>
        <v>499.99999999999989</v>
      </c>
      <c r="AA31">
        <v>1</v>
      </c>
      <c r="AB31" s="3">
        <f>(E5b!C31-P31-(E5b!B31-O31))/(E5b!C31-E5b!B31)</f>
        <v>0</v>
      </c>
      <c r="AC31" s="68">
        <f>(E5b!D31-Q31-(E5b!C31-P31))/(E5b!D31-E5b!C31)</f>
        <v>0.49804054054054053</v>
      </c>
      <c r="AD31" s="68">
        <f>(E5b!E31-R31-(E5b!D31-Q31))/(E5b!E31-E5b!D31)</f>
        <v>0.35374999999999979</v>
      </c>
      <c r="AE31" s="3">
        <f>(E5b!F31-S31-(E5b!E31-R31))/(E5b!F31-E5b!E31)</f>
        <v>0.35944805194805207</v>
      </c>
      <c r="AF31" s="3">
        <f>(E5b!G31-T31-(E5b!F31-S31))/(E5b!G31-E5b!F31)</f>
        <v>0.39605421686746972</v>
      </c>
      <c r="AG31" s="3">
        <f>(E5b!H31-U31-(E5b!G31-T31))/(E5b!H31-E5b!G31)</f>
        <v>0.48166666666666669</v>
      </c>
      <c r="AH31" s="3">
        <f>(E5b!I31-V31-(E5b!H31-U31))/(E5b!I31-E5b!H31)</f>
        <v>0.61499999999999999</v>
      </c>
      <c r="AI31" s="3">
        <f>(E5b!J31-W31-(E5b!I31-V31))/(E5b!J31-E5b!I31)</f>
        <v>0.71499999999999997</v>
      </c>
      <c r="AJ31" s="3">
        <f>(E5b!K31-X31-(E5b!J31-W31))/(E5b!K31-E5b!J31)</f>
        <v>0.76916666666666633</v>
      </c>
      <c r="AK31" s="3">
        <f>(E5b!L31-Y31-(E5b!K31-X31))/(E5b!L31-E5b!K31)</f>
        <v>0.89250000000000018</v>
      </c>
      <c r="AL31" s="3">
        <f>(E5b!M31-Z31-(E5b!L31-Y31))/(E5b!M31-E5b!L31)</f>
        <v>0.92500000000000004</v>
      </c>
    </row>
    <row r="32" spans="1:38" ht="15.75" customHeight="1" x14ac:dyDescent="0.25">
      <c r="A32" s="21">
        <v>2054</v>
      </c>
      <c r="B32" s="22">
        <f t="shared" si="13"/>
        <v>0</v>
      </c>
      <c r="C32" s="22">
        <f t="shared" si="14"/>
        <v>0</v>
      </c>
      <c r="D32" s="22">
        <f t="shared" si="15"/>
        <v>0.16</v>
      </c>
      <c r="E32" s="22">
        <f t="shared" si="16"/>
        <v>0.21000000000000002</v>
      </c>
      <c r="F32" s="22">
        <f t="shared" si="17"/>
        <v>0.26</v>
      </c>
      <c r="G32" s="22">
        <f t="shared" si="18"/>
        <v>0.32</v>
      </c>
      <c r="H32" s="22">
        <f t="shared" si="19"/>
        <v>0.42000000000000004</v>
      </c>
      <c r="I32" s="22">
        <f t="shared" si="20"/>
        <v>0.52</v>
      </c>
      <c r="J32" s="22">
        <f t="shared" si="21"/>
        <v>0.62</v>
      </c>
      <c r="K32" s="22">
        <f t="shared" si="22"/>
        <v>0.70999999999999974</v>
      </c>
      <c r="L32" s="22">
        <f t="shared" si="23"/>
        <v>0.8</v>
      </c>
      <c r="M32" s="22">
        <f t="shared" si="24"/>
        <v>0.9</v>
      </c>
      <c r="N32" s="22"/>
      <c r="O32" s="71">
        <f>(1-B32)*E5b!B32</f>
        <v>3</v>
      </c>
      <c r="P32" s="71">
        <f>(1-C32)*E5b!C32</f>
        <v>4</v>
      </c>
      <c r="Q32" s="2">
        <f>(1-D32)*E5b!D32</f>
        <v>4.8720000000000008</v>
      </c>
      <c r="R32" s="2">
        <f>(1-E32)*E5b!E32</f>
        <v>6.1620000000000008</v>
      </c>
      <c r="S32" s="2">
        <f>(1-F32)*E5b!F32</f>
        <v>8.5840000000000014</v>
      </c>
      <c r="T32">
        <f>(1-G32)*E5b!G32</f>
        <v>13.599999999999998</v>
      </c>
      <c r="U32">
        <f>(1-H32)*E5b!H32</f>
        <v>28.999999999999996</v>
      </c>
      <c r="V32">
        <f>(1-I32)*E5b!I32</f>
        <v>48</v>
      </c>
      <c r="W32">
        <f>(1-J32)*E5b!J32</f>
        <v>76</v>
      </c>
      <c r="X32">
        <f>(1-K32)*E5b!K32</f>
        <v>145.00000000000014</v>
      </c>
      <c r="Y32">
        <f>(1-L32)*E5b!L32</f>
        <v>199.99999999999994</v>
      </c>
      <c r="Z32">
        <f>(1-M32)*E5b!M32</f>
        <v>499.99999999999989</v>
      </c>
      <c r="AA32">
        <v>1</v>
      </c>
      <c r="AB32" s="3">
        <f>(E5b!C32-P32-(E5b!B32-O32))/(E5b!C32-E5b!B32)</f>
        <v>0</v>
      </c>
      <c r="AC32" s="68">
        <f>(E5b!D32-Q32-(E5b!C32-P32))/(E5b!D32-E5b!C32)</f>
        <v>0.51555555555555532</v>
      </c>
      <c r="AD32" s="68">
        <f>(E5b!E32-R32-(E5b!D32-Q32))/(E5b!E32-E5b!D32)</f>
        <v>0.35499999999999998</v>
      </c>
      <c r="AE32" s="3">
        <f>(E5b!F32-S32-(E5b!E32-R32))/(E5b!F32-E5b!E32)</f>
        <v>0.36263157894736836</v>
      </c>
      <c r="AF32" s="3">
        <f>(E5b!G32-T32-(E5b!F32-S32))/(E5b!G32-E5b!F32)</f>
        <v>0.40285714285714319</v>
      </c>
      <c r="AG32" s="3">
        <f>(E5b!H32-U32-(E5b!G32-T32))/(E5b!H32-E5b!G32)</f>
        <v>0.48666666666666669</v>
      </c>
      <c r="AH32" s="3">
        <f>(E5b!I32-V32-(E5b!H32-U32))/(E5b!I32-E5b!H32)</f>
        <v>0.61999999999999988</v>
      </c>
      <c r="AI32" s="3">
        <f>(E5b!J32-W32-(E5b!I32-V32))/(E5b!J32-E5b!I32)</f>
        <v>0.72</v>
      </c>
      <c r="AJ32" s="3">
        <f>(E5b!K32-X32-(E5b!J32-W32))/(E5b!K32-E5b!J32)</f>
        <v>0.76999999999999957</v>
      </c>
      <c r="AK32" s="3">
        <f>(E5b!L32-Y32-(E5b!K32-X32))/(E5b!L32-E5b!K32)</f>
        <v>0.89000000000000024</v>
      </c>
      <c r="AL32" s="3">
        <f>(E5b!M32-Z32-(E5b!L32-Y32))/(E5b!M32-E5b!L32)</f>
        <v>0.92500000000000004</v>
      </c>
    </row>
    <row r="33" spans="1:38" ht="15.75" customHeight="1" x14ac:dyDescent="0.25">
      <c r="A33" s="21">
        <v>2055</v>
      </c>
      <c r="B33" s="22">
        <f t="shared" si="13"/>
        <v>0</v>
      </c>
      <c r="C33" s="22">
        <f t="shared" si="14"/>
        <v>0</v>
      </c>
      <c r="D33" s="22">
        <f t="shared" si="15"/>
        <v>0.16250000000000001</v>
      </c>
      <c r="E33" s="22">
        <f t="shared" si="16"/>
        <v>0.21250000000000002</v>
      </c>
      <c r="F33" s="22">
        <f t="shared" si="17"/>
        <v>0.26250000000000001</v>
      </c>
      <c r="G33" s="22">
        <f t="shared" si="18"/>
        <v>0.32500000000000001</v>
      </c>
      <c r="H33" s="22">
        <f t="shared" si="19"/>
        <v>0.42500000000000004</v>
      </c>
      <c r="I33" s="22">
        <f t="shared" si="20"/>
        <v>0.52500000000000002</v>
      </c>
      <c r="J33" s="22">
        <f t="shared" si="21"/>
        <v>0.625</v>
      </c>
      <c r="K33" s="22">
        <f t="shared" si="22"/>
        <v>0.71249999999999969</v>
      </c>
      <c r="L33" s="22">
        <f t="shared" si="23"/>
        <v>0.8</v>
      </c>
      <c r="M33" s="22">
        <f t="shared" si="24"/>
        <v>0.9</v>
      </c>
      <c r="N33" s="22"/>
      <c r="O33" s="71">
        <f>(1-B33)*E5b!B33</f>
        <v>3</v>
      </c>
      <c r="P33" s="71">
        <f>(1-C33)*E5b!C33</f>
        <v>4</v>
      </c>
      <c r="Q33" s="2">
        <f>(1-D33)*E5b!D33</f>
        <v>4.8156250000000007</v>
      </c>
      <c r="R33" s="2">
        <f>(1-E33)*E5b!E33</f>
        <v>6.1031250000000004</v>
      </c>
      <c r="S33" s="2">
        <f>(1-F33)*E5b!F33</f>
        <v>8.4812500000000011</v>
      </c>
      <c r="T33">
        <f>(1-G33)*E5b!G33</f>
        <v>13.5</v>
      </c>
      <c r="U33">
        <f>(1-H33)*E5b!H33</f>
        <v>28.749999999999996</v>
      </c>
      <c r="V33">
        <f>(1-I33)*E5b!I33</f>
        <v>47.5</v>
      </c>
      <c r="W33">
        <f>(1-J33)*E5b!J33</f>
        <v>75</v>
      </c>
      <c r="X33">
        <f>(1-K33)*E5b!K33</f>
        <v>143.75000000000014</v>
      </c>
      <c r="Y33">
        <f>(1-L33)*E5b!L33</f>
        <v>199.99999999999994</v>
      </c>
      <c r="Z33">
        <f>(1-M33)*E5b!M33</f>
        <v>499.99999999999989</v>
      </c>
      <c r="AA33">
        <v>1</v>
      </c>
      <c r="AB33" s="3">
        <f>(E5b!C33-P33-(E5b!B33-O33))/(E5b!C33-E5b!B33)</f>
        <v>0</v>
      </c>
      <c r="AC33" s="68">
        <f>(E5b!D33-Q33-(E5b!C33-P33))/(E5b!D33-E5b!C33)</f>
        <v>0.53392857142857131</v>
      </c>
      <c r="AD33" s="68">
        <f>(E5b!E33-R33-(E5b!D33-Q33))/(E5b!E33-E5b!D33)</f>
        <v>0.35625000000000018</v>
      </c>
      <c r="AE33" s="3">
        <f>(E5b!F33-S33-(E5b!E33-R33))/(E5b!F33-E5b!E33)</f>
        <v>0.36583333333333329</v>
      </c>
      <c r="AF33" s="3">
        <f>(E5b!G33-T33-(E5b!F33-S33))/(E5b!G33-E5b!F33)</f>
        <v>0.40955882352941175</v>
      </c>
      <c r="AG33" s="3">
        <f>(E5b!H33-U33-(E5b!G33-T33))/(E5b!H33-E5b!G33)</f>
        <v>0.49166666666666681</v>
      </c>
      <c r="AH33" s="3">
        <f>(E5b!I33-V33-(E5b!H33-U33))/(E5b!I33-E5b!H33)</f>
        <v>0.62499999999999989</v>
      </c>
      <c r="AI33" s="3">
        <f>(E5b!J33-W33-(E5b!I33-V33))/(E5b!J33-E5b!I33)</f>
        <v>0.72499999999999998</v>
      </c>
      <c r="AJ33" s="3">
        <f>(E5b!K33-X33-(E5b!J33-W33))/(E5b!K33-E5b!J33)</f>
        <v>0.77083333333333293</v>
      </c>
      <c r="AK33" s="3">
        <f>(E5b!L33-Y33-(E5b!K33-X33))/(E5b!L33-E5b!K33)</f>
        <v>0.88750000000000018</v>
      </c>
      <c r="AL33" s="3">
        <f>(E5b!M33-Z33-(E5b!L33-Y33))/(E5b!M33-E5b!L33)</f>
        <v>0.92500000000000004</v>
      </c>
    </row>
    <row r="34" spans="1:38" ht="15.75" customHeight="1" x14ac:dyDescent="0.25">
      <c r="A34" s="21">
        <v>2056</v>
      </c>
      <c r="B34" s="22">
        <f t="shared" si="13"/>
        <v>0</v>
      </c>
      <c r="C34" s="22">
        <f t="shared" si="14"/>
        <v>0</v>
      </c>
      <c r="D34" s="22">
        <f t="shared" si="15"/>
        <v>0.16500000000000001</v>
      </c>
      <c r="E34" s="22">
        <f t="shared" si="16"/>
        <v>0.21500000000000002</v>
      </c>
      <c r="F34" s="22">
        <f t="shared" si="17"/>
        <v>0.26500000000000001</v>
      </c>
      <c r="G34" s="22">
        <f t="shared" si="18"/>
        <v>0.33</v>
      </c>
      <c r="H34" s="22">
        <f t="shared" si="19"/>
        <v>0.43000000000000005</v>
      </c>
      <c r="I34" s="22">
        <f t="shared" si="20"/>
        <v>0.53</v>
      </c>
      <c r="J34" s="22">
        <f t="shared" si="21"/>
        <v>0.63</v>
      </c>
      <c r="K34" s="22">
        <f t="shared" si="22"/>
        <v>0.71499999999999964</v>
      </c>
      <c r="L34" s="22">
        <f t="shared" si="23"/>
        <v>0.8</v>
      </c>
      <c r="M34" s="22">
        <f t="shared" si="24"/>
        <v>0.9</v>
      </c>
      <c r="N34" s="22"/>
      <c r="O34" s="71">
        <f>(1-B34)*E5b!B34</f>
        <v>3</v>
      </c>
      <c r="P34" s="71">
        <f>(1-C34)*E5b!C34</f>
        <v>4</v>
      </c>
      <c r="Q34" s="2">
        <f>(1-D34)*E5b!D34</f>
        <v>4.759500000000001</v>
      </c>
      <c r="R34" s="2">
        <f>(1-E34)*E5b!E34</f>
        <v>6.0445000000000002</v>
      </c>
      <c r="S34" s="2">
        <f>(1-F34)*E5b!F34</f>
        <v>8.3790000000000013</v>
      </c>
      <c r="T34">
        <f>(1-G34)*E5b!G34</f>
        <v>13.399999999999999</v>
      </c>
      <c r="U34">
        <f>(1-H34)*E5b!H34</f>
        <v>28.499999999999996</v>
      </c>
      <c r="V34">
        <f>(1-I34)*E5b!I34</f>
        <v>47</v>
      </c>
      <c r="W34">
        <f>(1-J34)*E5b!J34</f>
        <v>74</v>
      </c>
      <c r="X34">
        <f>(1-K34)*E5b!K34</f>
        <v>142.50000000000017</v>
      </c>
      <c r="Y34">
        <f>(1-L34)*E5b!L34</f>
        <v>199.99999999999994</v>
      </c>
      <c r="Z34">
        <f>(1-M34)*E5b!M34</f>
        <v>499.99999999999989</v>
      </c>
      <c r="AA34">
        <v>1</v>
      </c>
      <c r="AB34" s="3">
        <f>(E5b!C34-P34-(E5b!B34-O34))/(E5b!C34-E5b!B34)</f>
        <v>0</v>
      </c>
      <c r="AC34" s="68">
        <f>(E5b!D34-Q34-(E5b!C34-P34))/(E5b!D34-E5b!C34)</f>
        <v>0.55323529411764683</v>
      </c>
      <c r="AD34" s="68">
        <f>(E5b!E34-R34-(E5b!D34-Q34))/(E5b!E34-E5b!D34)</f>
        <v>0.35750000000000037</v>
      </c>
      <c r="AE34" s="3">
        <f>(E5b!F34-S34-(E5b!E34-R34))/(E5b!F34-E5b!E34)</f>
        <v>0.36905405405405395</v>
      </c>
      <c r="AF34" s="3">
        <f>(E5b!G34-T34-(E5b!F34-S34))/(E5b!G34-E5b!F34)</f>
        <v>0.41616279069767459</v>
      </c>
      <c r="AG34" s="3">
        <f>(E5b!H34-U34-(E5b!G34-T34))/(E5b!H34-E5b!G34)</f>
        <v>0.49666666666666676</v>
      </c>
      <c r="AH34" s="3">
        <f>(E5b!I34-V34-(E5b!H34-U34))/(E5b!I34-E5b!H34)</f>
        <v>0.62999999999999989</v>
      </c>
      <c r="AI34" s="3">
        <f>(E5b!J34-W34-(E5b!I34-V34))/(E5b!J34-E5b!I34)</f>
        <v>0.73</v>
      </c>
      <c r="AJ34" s="3">
        <f>(E5b!K34-X34-(E5b!J34-W34))/(E5b!K34-E5b!J34)</f>
        <v>0.77166666666666606</v>
      </c>
      <c r="AK34" s="3">
        <f>(E5b!L34-Y34-(E5b!K34-X34))/(E5b!L34-E5b!K34)</f>
        <v>0.88500000000000034</v>
      </c>
      <c r="AL34" s="3">
        <f>(E5b!M34-Z34-(E5b!L34-Y34))/(E5b!M34-E5b!L34)</f>
        <v>0.92500000000000004</v>
      </c>
    </row>
    <row r="35" spans="1:38" ht="15.75" customHeight="1" x14ac:dyDescent="0.25">
      <c r="A35" s="21">
        <v>2057</v>
      </c>
      <c r="B35" s="22">
        <f t="shared" si="13"/>
        <v>0</v>
      </c>
      <c r="C35" s="22">
        <f t="shared" si="14"/>
        <v>0</v>
      </c>
      <c r="D35" s="22">
        <f t="shared" si="15"/>
        <v>0.16750000000000001</v>
      </c>
      <c r="E35" s="22">
        <f t="shared" si="16"/>
        <v>0.21750000000000003</v>
      </c>
      <c r="F35" s="22">
        <f t="shared" si="17"/>
        <v>0.26750000000000002</v>
      </c>
      <c r="G35" s="22">
        <f t="shared" si="18"/>
        <v>0.33500000000000002</v>
      </c>
      <c r="H35" s="22">
        <f t="shared" si="19"/>
        <v>0.43500000000000005</v>
      </c>
      <c r="I35" s="22">
        <f t="shared" si="20"/>
        <v>0.53500000000000003</v>
      </c>
      <c r="J35" s="22">
        <f t="shared" si="21"/>
        <v>0.63500000000000001</v>
      </c>
      <c r="K35" s="22">
        <f t="shared" si="22"/>
        <v>0.71749999999999958</v>
      </c>
      <c r="L35" s="22">
        <f t="shared" si="23"/>
        <v>0.8</v>
      </c>
      <c r="M35" s="22">
        <f t="shared" si="24"/>
        <v>0.9</v>
      </c>
      <c r="N35" s="22"/>
      <c r="O35" s="71">
        <f>(1-B35)*E5b!B35</f>
        <v>3</v>
      </c>
      <c r="P35" s="71">
        <f>(1-C35)*E5b!C35</f>
        <v>4</v>
      </c>
      <c r="Q35" s="2">
        <f>(1-D35)*E5b!D35</f>
        <v>4.7036250000000015</v>
      </c>
      <c r="R35" s="2">
        <f>(1-E35)*E5b!E35</f>
        <v>5.9861250000000004</v>
      </c>
      <c r="S35" s="2">
        <f>(1-F35)*E5b!F35</f>
        <v>8.2772500000000004</v>
      </c>
      <c r="T35">
        <f>(1-G35)*E5b!G35</f>
        <v>13.3</v>
      </c>
      <c r="U35">
        <f>(1-H35)*E5b!H35</f>
        <v>28.249999999999996</v>
      </c>
      <c r="V35">
        <f>(1-I35)*E5b!I35</f>
        <v>46.5</v>
      </c>
      <c r="W35">
        <f>(1-J35)*E5b!J35</f>
        <v>73</v>
      </c>
      <c r="X35">
        <f>(1-K35)*E5b!K35</f>
        <v>141.2500000000002</v>
      </c>
      <c r="Y35">
        <f>(1-L35)*E5b!L35</f>
        <v>199.99999999999994</v>
      </c>
      <c r="Z35">
        <f>(1-M35)*E5b!M35</f>
        <v>499.99999999999989</v>
      </c>
      <c r="AA35">
        <v>1</v>
      </c>
      <c r="AB35" s="3">
        <f>(E5b!C35-P35-(E5b!B35-O35))/(E5b!C35-E5b!B35)</f>
        <v>0</v>
      </c>
      <c r="AC35" s="68">
        <f>(E5b!D35-Q35-(E5b!C35-P35))/(E5b!D35-E5b!C35)</f>
        <v>0.57356060606060544</v>
      </c>
      <c r="AD35" s="68">
        <f>(E5b!E35-R35-(E5b!D35-Q35))/(E5b!E35-E5b!D35)</f>
        <v>0.35875000000000057</v>
      </c>
      <c r="AE35" s="3">
        <f>(E5b!F35-S35-(E5b!E35-R35))/(E5b!F35-E5b!E35)</f>
        <v>0.37229452054794537</v>
      </c>
      <c r="AF35" s="3">
        <f>(E5b!G35-T35-(E5b!F35-S35))/(E5b!G35-E5b!F35)</f>
        <v>0.42267241379310327</v>
      </c>
      <c r="AG35" s="3">
        <f>(E5b!H35-U35-(E5b!G35-T35))/(E5b!H35-E5b!G35)</f>
        <v>0.50166666666666682</v>
      </c>
      <c r="AH35" s="3">
        <f>(E5b!I35-V35-(E5b!H35-U35))/(E5b!I35-E5b!H35)</f>
        <v>0.6349999999999999</v>
      </c>
      <c r="AI35" s="3">
        <f>(E5b!J35-W35-(E5b!I35-V35))/(E5b!J35-E5b!I35)</f>
        <v>0.73499999999999999</v>
      </c>
      <c r="AJ35" s="3">
        <f>(E5b!K35-X35-(E5b!J35-W35))/(E5b!K35-E5b!J35)</f>
        <v>0.77249999999999919</v>
      </c>
      <c r="AK35" s="3">
        <f>(E5b!L35-Y35-(E5b!K35-X35))/(E5b!L35-E5b!K35)</f>
        <v>0.88250000000000051</v>
      </c>
      <c r="AL35" s="3">
        <f>(E5b!M35-Z35-(E5b!L35-Y35))/(E5b!M35-E5b!L35)</f>
        <v>0.92500000000000004</v>
      </c>
    </row>
    <row r="36" spans="1:38" ht="15.75" customHeight="1" x14ac:dyDescent="0.25">
      <c r="A36" s="21">
        <v>2058</v>
      </c>
      <c r="B36" s="22">
        <f t="shared" si="13"/>
        <v>0</v>
      </c>
      <c r="C36" s="22">
        <f t="shared" si="14"/>
        <v>0</v>
      </c>
      <c r="D36" s="22">
        <f t="shared" si="15"/>
        <v>0.17</v>
      </c>
      <c r="E36" s="22">
        <f t="shared" si="16"/>
        <v>0.22000000000000003</v>
      </c>
      <c r="F36" s="22">
        <f t="shared" si="17"/>
        <v>0.27</v>
      </c>
      <c r="G36" s="22">
        <f t="shared" si="18"/>
        <v>0.34</v>
      </c>
      <c r="H36" s="22">
        <f t="shared" si="19"/>
        <v>0.44000000000000006</v>
      </c>
      <c r="I36" s="22">
        <f t="shared" si="20"/>
        <v>0.54</v>
      </c>
      <c r="J36" s="22">
        <f t="shared" si="21"/>
        <v>0.64</v>
      </c>
      <c r="K36" s="22">
        <f t="shared" si="22"/>
        <v>0.71999999999999953</v>
      </c>
      <c r="L36" s="22">
        <f t="shared" si="23"/>
        <v>0.8</v>
      </c>
      <c r="M36" s="22">
        <f t="shared" si="24"/>
        <v>0.9</v>
      </c>
      <c r="N36" s="22"/>
      <c r="O36" s="71">
        <f>(1-B36)*E5b!B36</f>
        <v>3</v>
      </c>
      <c r="P36" s="71">
        <f>(1-C36)*E5b!C36</f>
        <v>4</v>
      </c>
      <c r="Q36" s="2">
        <f>(1-D36)*E5b!D36</f>
        <v>4.6480000000000006</v>
      </c>
      <c r="R36" s="2">
        <f>(1-E36)*E5b!E36</f>
        <v>5.9280000000000017</v>
      </c>
      <c r="S36" s="2">
        <f>(1-F36)*E5b!F36</f>
        <v>8.1760000000000019</v>
      </c>
      <c r="T36">
        <f>(1-G36)*E5b!G36</f>
        <v>13.2</v>
      </c>
      <c r="U36">
        <f>(1-H36)*E5b!H36</f>
        <v>27.999999999999996</v>
      </c>
      <c r="V36">
        <f>(1-I36)*E5b!I36</f>
        <v>46</v>
      </c>
      <c r="W36">
        <f>(1-J36)*E5b!J36</f>
        <v>72</v>
      </c>
      <c r="X36">
        <f>(1-K36)*E5b!K36</f>
        <v>140.00000000000023</v>
      </c>
      <c r="Y36">
        <f>(1-L36)*E5b!L36</f>
        <v>199.99999999999994</v>
      </c>
      <c r="Z36">
        <f>(1-M36)*E5b!M36</f>
        <v>499.99999999999989</v>
      </c>
      <c r="AA36">
        <v>1</v>
      </c>
      <c r="AB36" s="3">
        <f>(E5b!C36-P36-(E5b!B36-O36))/(E5b!C36-E5b!B36)</f>
        <v>0</v>
      </c>
      <c r="AC36" s="68">
        <f>(E5b!D36-Q36-(E5b!C36-P36))/(E5b!D36-E5b!C36)</f>
        <v>0.59499999999999997</v>
      </c>
      <c r="AD36" s="68">
        <f>(E5b!E36-R36-(E5b!D36-Q36))/(E5b!E36-E5b!D36)</f>
        <v>0.35999999999999943</v>
      </c>
      <c r="AE36" s="3">
        <f>(E5b!F36-S36-(E5b!E36-R36))/(E5b!F36-E5b!E36)</f>
        <v>0.37555555555555575</v>
      </c>
      <c r="AF36" s="3">
        <f>(E5b!G36-T36-(E5b!F36-S36))/(E5b!G36-E5b!F36)</f>
        <v>0.42909090909090919</v>
      </c>
      <c r="AG36" s="3">
        <f>(E5b!H36-U36-(E5b!G36-T36))/(E5b!H36-E5b!G36)</f>
        <v>0.50666666666666671</v>
      </c>
      <c r="AH36" s="3">
        <f>(E5b!I36-V36-(E5b!H36-U36))/(E5b!I36-E5b!H36)</f>
        <v>0.6399999999999999</v>
      </c>
      <c r="AI36" s="3">
        <f>(E5b!J36-W36-(E5b!I36-V36))/(E5b!J36-E5b!I36)</f>
        <v>0.74</v>
      </c>
      <c r="AJ36" s="3">
        <f>(E5b!K36-X36-(E5b!J36-W36))/(E5b!K36-E5b!J36)</f>
        <v>0.77333333333333254</v>
      </c>
      <c r="AK36" s="3">
        <f>(E5b!L36-Y36-(E5b!K36-X36))/(E5b!L36-E5b!K36)</f>
        <v>0.88000000000000045</v>
      </c>
      <c r="AL36" s="3">
        <f>(E5b!M36-Z36-(E5b!L36-Y36))/(E5b!M36-E5b!L36)</f>
        <v>0.92500000000000004</v>
      </c>
    </row>
    <row r="37" spans="1:38" ht="15.75" customHeight="1" x14ac:dyDescent="0.25">
      <c r="A37" s="21">
        <v>2059</v>
      </c>
      <c r="B37" s="22">
        <f t="shared" si="13"/>
        <v>0</v>
      </c>
      <c r="C37" s="22">
        <f t="shared" si="14"/>
        <v>0</v>
      </c>
      <c r="D37" s="22">
        <f t="shared" si="15"/>
        <v>0.17250000000000001</v>
      </c>
      <c r="E37" s="22">
        <f t="shared" si="16"/>
        <v>0.22250000000000003</v>
      </c>
      <c r="F37" s="22">
        <f t="shared" si="17"/>
        <v>0.27250000000000002</v>
      </c>
      <c r="G37" s="22">
        <f t="shared" si="18"/>
        <v>0.34500000000000003</v>
      </c>
      <c r="H37" s="22">
        <f t="shared" si="19"/>
        <v>0.44500000000000006</v>
      </c>
      <c r="I37" s="22">
        <f t="shared" si="20"/>
        <v>0.54500000000000004</v>
      </c>
      <c r="J37" s="22">
        <f t="shared" si="21"/>
        <v>0.64500000000000002</v>
      </c>
      <c r="K37" s="22">
        <f t="shared" si="22"/>
        <v>0.72249999999999948</v>
      </c>
      <c r="L37" s="22">
        <f t="shared" si="23"/>
        <v>0.8</v>
      </c>
      <c r="M37" s="22">
        <f t="shared" si="24"/>
        <v>0.9</v>
      </c>
      <c r="N37" s="22"/>
      <c r="O37" s="71">
        <f>(1-B37)*E5b!B37</f>
        <v>3</v>
      </c>
      <c r="P37" s="71">
        <f>(1-C37)*E5b!C37</f>
        <v>4</v>
      </c>
      <c r="Q37" s="2">
        <f>(1-D37)*E5b!D37</f>
        <v>4.5926250000000017</v>
      </c>
      <c r="R37" s="2">
        <f>(1-E37)*E5b!E37</f>
        <v>5.8701250000000007</v>
      </c>
      <c r="S37" s="2">
        <f>(1-F37)*E5b!F37</f>
        <v>8.0752500000000023</v>
      </c>
      <c r="T37">
        <f>(1-G37)*E5b!G37</f>
        <v>13.100000000000001</v>
      </c>
      <c r="U37">
        <f>(1-H37)*E5b!H37</f>
        <v>27.749999999999996</v>
      </c>
      <c r="V37">
        <f>(1-I37)*E5b!I37</f>
        <v>45.499999999999993</v>
      </c>
      <c r="W37">
        <f>(1-J37)*E5b!J37</f>
        <v>71</v>
      </c>
      <c r="X37">
        <f>(1-K37)*E5b!K37</f>
        <v>138.75000000000026</v>
      </c>
      <c r="Y37">
        <f>(1-L37)*E5b!L37</f>
        <v>199.99999999999994</v>
      </c>
      <c r="Z37">
        <f>(1-M37)*E5b!M37</f>
        <v>499.99999999999989</v>
      </c>
      <c r="AA37">
        <v>1</v>
      </c>
      <c r="AB37" s="3">
        <f>(E5b!C37-P37-(E5b!B37-O37))/(E5b!C37-E5b!B37)</f>
        <v>0</v>
      </c>
      <c r="AC37" s="68">
        <f>(E5b!D37-Q37-(E5b!C37-P37))/(E5b!D37-E5b!C37)</f>
        <v>0.61766129032257988</v>
      </c>
      <c r="AD37" s="68">
        <f>(E5b!E37-R37-(E5b!D37-Q37))/(E5b!E37-E5b!D37)</f>
        <v>0.36125000000000052</v>
      </c>
      <c r="AE37" s="3">
        <f>(E5b!F37-S37-(E5b!E37-R37))/(E5b!F37-E5b!E37)</f>
        <v>0.37883802816901391</v>
      </c>
      <c r="AF37" s="3">
        <f>(E5b!G37-T37-(E5b!F37-S37))/(E5b!G37-E5b!F37)</f>
        <v>0.43542134831460666</v>
      </c>
      <c r="AG37" s="3">
        <f>(E5b!H37-U37-(E5b!G37-T37))/(E5b!H37-E5b!G37)</f>
        <v>0.51166666666666683</v>
      </c>
      <c r="AH37" s="3">
        <f>(E5b!I37-V37-(E5b!H37-U37))/(E5b!I37-E5b!H37)</f>
        <v>0.64500000000000002</v>
      </c>
      <c r="AI37" s="3">
        <f>(E5b!J37-W37-(E5b!I37-V37))/(E5b!J37-E5b!I37)</f>
        <v>0.745</v>
      </c>
      <c r="AJ37" s="3">
        <f>(E5b!K37-X37-(E5b!J37-W37))/(E5b!K37-E5b!J37)</f>
        <v>0.77416666666666589</v>
      </c>
      <c r="AK37" s="3">
        <f>(E5b!L37-Y37-(E5b!K37-X37))/(E5b!L37-E5b!K37)</f>
        <v>0.8775000000000005</v>
      </c>
      <c r="AL37" s="3">
        <f>(E5b!M37-Z37-(E5b!L37-Y37))/(E5b!M37-E5b!L37)</f>
        <v>0.92500000000000004</v>
      </c>
    </row>
    <row r="38" spans="1:38" ht="15.75" customHeight="1" x14ac:dyDescent="0.25">
      <c r="A38" s="21">
        <v>2060</v>
      </c>
      <c r="B38" s="22">
        <f t="shared" si="13"/>
        <v>0</v>
      </c>
      <c r="C38" s="22">
        <f t="shared" si="14"/>
        <v>0</v>
      </c>
      <c r="D38" s="22">
        <f t="shared" si="15"/>
        <v>0.17500000000000002</v>
      </c>
      <c r="E38" s="22">
        <f t="shared" si="16"/>
        <v>0.22500000000000003</v>
      </c>
      <c r="F38" s="22">
        <f t="shared" si="17"/>
        <v>0.27500000000000002</v>
      </c>
      <c r="G38" s="22">
        <f t="shared" si="18"/>
        <v>0.35000000000000003</v>
      </c>
      <c r="H38" s="22">
        <f t="shared" si="19"/>
        <v>0.45000000000000007</v>
      </c>
      <c r="I38" s="22">
        <f t="shared" si="20"/>
        <v>0.55000000000000004</v>
      </c>
      <c r="J38" s="22">
        <f t="shared" si="21"/>
        <v>0.65</v>
      </c>
      <c r="K38" s="22">
        <f t="shared" si="22"/>
        <v>0.72499999999999942</v>
      </c>
      <c r="L38" s="22">
        <f t="shared" si="23"/>
        <v>0.8</v>
      </c>
      <c r="M38" s="22">
        <f t="shared" si="24"/>
        <v>0.9</v>
      </c>
      <c r="N38" s="22"/>
      <c r="O38" s="71">
        <f>(1-B38)*E5b!B38</f>
        <v>3</v>
      </c>
      <c r="P38" s="71">
        <f>(1-C38)*E5b!C38</f>
        <v>4</v>
      </c>
      <c r="Q38" s="2">
        <f>(1-D38)*E5b!D38</f>
        <v>4.5375000000000014</v>
      </c>
      <c r="R38" s="2">
        <f>(1-E38)*E5b!E38</f>
        <v>5.8125000000000009</v>
      </c>
      <c r="S38" s="2">
        <f>(1-F38)*E5b!F38</f>
        <v>7.9750000000000023</v>
      </c>
      <c r="T38">
        <f>(1-G38)*E5b!G38</f>
        <v>12.999999999999998</v>
      </c>
      <c r="U38">
        <f>(1-H38)*E5b!H38</f>
        <v>27.499999999999996</v>
      </c>
      <c r="V38">
        <f>(1-I38)*E5b!I38</f>
        <v>44.999999999999993</v>
      </c>
      <c r="W38">
        <f>(1-J38)*E5b!J38</f>
        <v>70</v>
      </c>
      <c r="X38">
        <f>(1-K38)*E5b!K38</f>
        <v>137.50000000000028</v>
      </c>
      <c r="Y38">
        <f>(1-L38)*E5b!L38</f>
        <v>199.99999999999994</v>
      </c>
      <c r="Z38">
        <f>(1-M38)*E5b!M38</f>
        <v>499.99999999999989</v>
      </c>
      <c r="AA38">
        <v>1</v>
      </c>
      <c r="AB38" s="3">
        <f>(E5b!C38-P38-(E5b!B38-O38))/(E5b!C38-E5b!B38)</f>
        <v>0</v>
      </c>
      <c r="AC38" s="68">
        <f>(E5b!D38-Q38-(E5b!C38-P38))/(E5b!D38-E5b!C38)</f>
        <v>0.64166666666666616</v>
      </c>
      <c r="AD38" s="68">
        <f>(E5b!E38-R38-(E5b!D38-Q38))/(E5b!E38-E5b!D38)</f>
        <v>0.36250000000000027</v>
      </c>
      <c r="AE38" s="3">
        <f>(E5b!F38-S38-(E5b!E38-R38))/(E5b!F38-E5b!E38)</f>
        <v>0.38214285714285706</v>
      </c>
      <c r="AF38" s="3">
        <f>(E5b!G38-T38-(E5b!F38-S38))/(E5b!G38-E5b!F38)</f>
        <v>0.44166666666666687</v>
      </c>
      <c r="AG38" s="3">
        <f>(E5b!H38-U38-(E5b!G38-T38))/(E5b!H38-E5b!G38)</f>
        <v>0.51666666666666672</v>
      </c>
      <c r="AH38" s="3">
        <f>(E5b!I38-V38-(E5b!H38-U38))/(E5b!I38-E5b!H38)</f>
        <v>0.65</v>
      </c>
      <c r="AI38" s="3">
        <f>(E5b!J38-W38-(E5b!I38-V38))/(E5b!J38-E5b!I38)</f>
        <v>0.75</v>
      </c>
      <c r="AJ38" s="3">
        <f>(E5b!K38-X38-(E5b!J38-W38))/(E5b!K38-E5b!J38)</f>
        <v>0.77499999999999902</v>
      </c>
      <c r="AK38" s="3">
        <f>(E5b!L38-Y38-(E5b!K38-X38))/(E5b!L38-E5b!K38)</f>
        <v>0.87500000000000056</v>
      </c>
      <c r="AL38" s="3">
        <f>(E5b!M38-Z38-(E5b!L38-Y38))/(E5b!M38-E5b!L38)</f>
        <v>0.92500000000000004</v>
      </c>
    </row>
    <row r="39" spans="1:38" ht="15.75" customHeight="1" x14ac:dyDescent="0.25">
      <c r="A39" s="21">
        <v>2061</v>
      </c>
      <c r="B39" s="22">
        <f t="shared" si="13"/>
        <v>0</v>
      </c>
      <c r="C39" s="22">
        <f t="shared" si="14"/>
        <v>0</v>
      </c>
      <c r="D39" s="22">
        <f t="shared" si="15"/>
        <v>0.17750000000000002</v>
      </c>
      <c r="E39" s="22">
        <f t="shared" si="16"/>
        <v>0.22750000000000004</v>
      </c>
      <c r="F39" s="22">
        <f t="shared" si="17"/>
        <v>0.27750000000000002</v>
      </c>
      <c r="G39" s="22">
        <f t="shared" si="18"/>
        <v>0.35500000000000004</v>
      </c>
      <c r="H39" s="22">
        <f t="shared" si="19"/>
        <v>0.45500000000000007</v>
      </c>
      <c r="I39" s="22">
        <f t="shared" si="20"/>
        <v>0.55500000000000005</v>
      </c>
      <c r="J39" s="22">
        <f t="shared" si="21"/>
        <v>0.65500000000000003</v>
      </c>
      <c r="K39" s="22">
        <f t="shared" si="22"/>
        <v>0.72749999999999937</v>
      </c>
      <c r="L39" s="22">
        <f t="shared" si="23"/>
        <v>0.8</v>
      </c>
      <c r="M39" s="22">
        <f t="shared" si="24"/>
        <v>0.9</v>
      </c>
      <c r="N39" s="22"/>
      <c r="O39" s="71">
        <f>(1-B39)*E5b!B39</f>
        <v>3</v>
      </c>
      <c r="P39" s="71">
        <f>(1-C39)*E5b!C39</f>
        <v>4</v>
      </c>
      <c r="Q39" s="2">
        <f>(1-D39)*E5b!D39</f>
        <v>4.4826250000000014</v>
      </c>
      <c r="R39" s="2">
        <f>(1-E39)*E5b!E39</f>
        <v>5.7551250000000014</v>
      </c>
      <c r="S39" s="2">
        <f>(1-F39)*E5b!F39</f>
        <v>7.8752500000000021</v>
      </c>
      <c r="T39">
        <f>(1-G39)*E5b!G39</f>
        <v>12.9</v>
      </c>
      <c r="U39">
        <f>(1-H39)*E5b!H39</f>
        <v>27.249999999999996</v>
      </c>
      <c r="V39">
        <f>(1-I39)*E5b!I39</f>
        <v>44.499999999999993</v>
      </c>
      <c r="W39">
        <f>(1-J39)*E5b!J39</f>
        <v>69</v>
      </c>
      <c r="X39">
        <f>(1-K39)*E5b!K39</f>
        <v>136.25000000000031</v>
      </c>
      <c r="Y39">
        <f>(1-L39)*E5b!L39</f>
        <v>199.99999999999994</v>
      </c>
      <c r="Z39">
        <f>(1-M39)*E5b!M39</f>
        <v>499.99999999999989</v>
      </c>
      <c r="AA39">
        <v>1</v>
      </c>
      <c r="AB39" s="3">
        <f>(E5b!C39-P39-(E5b!B39-O39))/(E5b!C39-E5b!B39)</f>
        <v>0</v>
      </c>
      <c r="AC39" s="68">
        <f>(E5b!D39-Q39-(E5b!C39-P39))/(E5b!D39-E5b!C39)</f>
        <v>0.66715517241379263</v>
      </c>
      <c r="AD39" s="68">
        <f>(E5b!E39-R39-(E5b!D39-Q39))/(E5b!E39-E5b!D39)</f>
        <v>0.36375000000000002</v>
      </c>
      <c r="AE39" s="3">
        <f>(E5b!F39-S39-(E5b!E39-R39))/(E5b!F39-E5b!E39)</f>
        <v>0.38547101449275378</v>
      </c>
      <c r="AF39" s="3">
        <f>(E5b!G39-T39-(E5b!F39-S39))/(E5b!G39-E5b!F39)</f>
        <v>0.4478296703296703</v>
      </c>
      <c r="AG39" s="3">
        <f>(E5b!H39-U39-(E5b!G39-T39))/(E5b!H39-E5b!G39)</f>
        <v>0.52166666666666683</v>
      </c>
      <c r="AH39" s="3">
        <f>(E5b!I39-V39-(E5b!H39-U39))/(E5b!I39-E5b!H39)</f>
        <v>0.65500000000000003</v>
      </c>
      <c r="AI39" s="3">
        <f>(E5b!J39-W39-(E5b!I39-V39))/(E5b!J39-E5b!I39)</f>
        <v>0.755</v>
      </c>
      <c r="AJ39" s="3">
        <f>(E5b!K39-X39-(E5b!J39-W39))/(E5b!K39-E5b!J39)</f>
        <v>0.77583333333333215</v>
      </c>
      <c r="AK39" s="3">
        <f>(E5b!L39-Y39-(E5b!K39-X39))/(E5b!L39-E5b!K39)</f>
        <v>0.87250000000000072</v>
      </c>
      <c r="AL39" s="3">
        <f>(E5b!M39-Z39-(E5b!L39-Y39))/(E5b!M39-E5b!L39)</f>
        <v>0.92500000000000004</v>
      </c>
    </row>
    <row r="40" spans="1:38" ht="15.75" customHeight="1" x14ac:dyDescent="0.25">
      <c r="A40" s="21">
        <v>2062</v>
      </c>
      <c r="B40" s="22">
        <f t="shared" si="13"/>
        <v>0</v>
      </c>
      <c r="C40" s="22">
        <f t="shared" si="14"/>
        <v>0</v>
      </c>
      <c r="D40" s="22">
        <f t="shared" si="15"/>
        <v>0.18000000000000002</v>
      </c>
      <c r="E40" s="22">
        <f t="shared" si="16"/>
        <v>0.23000000000000004</v>
      </c>
      <c r="F40" s="22">
        <f t="shared" si="17"/>
        <v>0.28000000000000003</v>
      </c>
      <c r="G40" s="22">
        <f t="shared" si="18"/>
        <v>0.36000000000000004</v>
      </c>
      <c r="H40" s="22">
        <f t="shared" si="19"/>
        <v>0.46000000000000008</v>
      </c>
      <c r="I40" s="22">
        <f t="shared" si="20"/>
        <v>0.56000000000000005</v>
      </c>
      <c r="J40" s="22">
        <f t="shared" si="21"/>
        <v>0.66</v>
      </c>
      <c r="K40" s="22">
        <f t="shared" si="22"/>
        <v>0.72999999999999932</v>
      </c>
      <c r="L40" s="22">
        <f t="shared" si="23"/>
        <v>0.8</v>
      </c>
      <c r="M40" s="22">
        <f t="shared" si="24"/>
        <v>0.9</v>
      </c>
      <c r="N40" s="22"/>
      <c r="O40" s="71">
        <f>(1-B40)*E5b!B40</f>
        <v>3</v>
      </c>
      <c r="P40" s="71">
        <f>(1-C40)*E5b!C40</f>
        <v>4</v>
      </c>
      <c r="Q40" s="2">
        <f>(1-D40)*E5b!D40</f>
        <v>4.4280000000000017</v>
      </c>
      <c r="R40" s="2">
        <f>(1-E40)*E5b!E40</f>
        <v>5.6980000000000022</v>
      </c>
      <c r="S40" s="2">
        <f>(1-F40)*E5b!F40</f>
        <v>7.7760000000000025</v>
      </c>
      <c r="T40">
        <f>(1-G40)*E5b!G40</f>
        <v>12.799999999999997</v>
      </c>
      <c r="U40">
        <f>(1-H40)*E5b!H40</f>
        <v>26.999999999999996</v>
      </c>
      <c r="V40">
        <f>(1-I40)*E5b!I40</f>
        <v>43.999999999999993</v>
      </c>
      <c r="W40">
        <f>(1-J40)*E5b!J40</f>
        <v>68</v>
      </c>
      <c r="X40">
        <f>(1-K40)*E5b!K40</f>
        <v>135.00000000000034</v>
      </c>
      <c r="Y40">
        <f>(1-L40)*E5b!L40</f>
        <v>199.99999999999994</v>
      </c>
      <c r="Z40">
        <f>(1-M40)*E5b!M40</f>
        <v>499.99999999999989</v>
      </c>
      <c r="AA40">
        <v>1</v>
      </c>
      <c r="AB40" s="3">
        <f>(E5b!C40-P40-(E5b!B40-O40))/(E5b!C40-E5b!B40)</f>
        <v>0</v>
      </c>
      <c r="AC40" s="68">
        <f>(E5b!D40-Q40-(E5b!C40-P40))/(E5b!D40-E5b!C40)</f>
        <v>0.69428571428571351</v>
      </c>
      <c r="AD40" s="68">
        <f>(E5b!E40-R40-(E5b!D40-Q40))/(E5b!E40-E5b!D40)</f>
        <v>0.36499999999999977</v>
      </c>
      <c r="AE40" s="3">
        <f>(E5b!F40-S40-(E5b!E40-R40))/(E5b!F40-E5b!E40)</f>
        <v>0.38882352941176501</v>
      </c>
      <c r="AF40" s="3">
        <f>(E5b!G40-T40-(E5b!F40-S40))/(E5b!G40-E5b!F40)</f>
        <v>0.45391304347826117</v>
      </c>
      <c r="AG40" s="3">
        <f>(E5b!H40-U40-(E5b!G40-T40))/(E5b!H40-E5b!G40)</f>
        <v>0.52666666666666673</v>
      </c>
      <c r="AH40" s="3">
        <f>(E5b!I40-V40-(E5b!H40-U40))/(E5b!I40-E5b!H40)</f>
        <v>0.66</v>
      </c>
      <c r="AI40" s="3">
        <f>(E5b!J40-W40-(E5b!I40-V40))/(E5b!J40-E5b!I40)</f>
        <v>0.76</v>
      </c>
      <c r="AJ40" s="3">
        <f>(E5b!K40-X40-(E5b!J40-W40))/(E5b!K40-E5b!J40)</f>
        <v>0.77666666666666551</v>
      </c>
      <c r="AK40" s="3">
        <f>(E5b!L40-Y40-(E5b!K40-X40))/(E5b!L40-E5b!K40)</f>
        <v>0.87000000000000066</v>
      </c>
      <c r="AL40" s="3">
        <f>(E5b!M40-Z40-(E5b!L40-Y40))/(E5b!M40-E5b!L40)</f>
        <v>0.92500000000000004</v>
      </c>
    </row>
    <row r="41" spans="1:38" ht="15.75" customHeight="1" x14ac:dyDescent="0.25">
      <c r="A41" s="21">
        <v>2063</v>
      </c>
      <c r="B41" s="22">
        <f t="shared" si="13"/>
        <v>0</v>
      </c>
      <c r="C41" s="22">
        <f t="shared" si="14"/>
        <v>0</v>
      </c>
      <c r="D41" s="22">
        <f t="shared" si="15"/>
        <v>0.18250000000000002</v>
      </c>
      <c r="E41" s="22">
        <f t="shared" si="16"/>
        <v>0.23250000000000004</v>
      </c>
      <c r="F41" s="22">
        <f t="shared" si="17"/>
        <v>0.28250000000000003</v>
      </c>
      <c r="G41" s="22">
        <f t="shared" si="18"/>
        <v>0.36500000000000005</v>
      </c>
      <c r="H41" s="22">
        <f t="shared" si="19"/>
        <v>0.46500000000000008</v>
      </c>
      <c r="I41" s="22">
        <f t="shared" si="20"/>
        <v>0.56500000000000006</v>
      </c>
      <c r="J41" s="22">
        <f t="shared" si="21"/>
        <v>0.66500000000000004</v>
      </c>
      <c r="K41" s="22">
        <f t="shared" si="22"/>
        <v>0.73249999999999926</v>
      </c>
      <c r="L41" s="22">
        <f t="shared" si="23"/>
        <v>0.8</v>
      </c>
      <c r="M41" s="22">
        <f t="shared" si="24"/>
        <v>0.9</v>
      </c>
      <c r="N41" s="22"/>
      <c r="O41" s="71">
        <f>(1-B41)*E5b!B41</f>
        <v>3</v>
      </c>
      <c r="P41" s="71">
        <f>(1-C41)*E5b!C41</f>
        <v>4</v>
      </c>
      <c r="Q41" s="2">
        <f>(1-D41)*E5b!D41</f>
        <v>4.3736250000000023</v>
      </c>
      <c r="R41" s="2">
        <f>(1-E41)*E5b!E41</f>
        <v>5.6411250000000015</v>
      </c>
      <c r="S41" s="2">
        <f>(1-F41)*E5b!F41</f>
        <v>7.6772500000000035</v>
      </c>
      <c r="T41">
        <f>(1-G41)*E5b!G41</f>
        <v>12.7</v>
      </c>
      <c r="U41">
        <f>(1-H41)*E5b!H41</f>
        <v>26.749999999999996</v>
      </c>
      <c r="V41">
        <f>(1-I41)*E5b!I41</f>
        <v>43.499999999999993</v>
      </c>
      <c r="W41">
        <f>(1-J41)*E5b!J41</f>
        <v>67</v>
      </c>
      <c r="X41">
        <f>(1-K41)*E5b!K41</f>
        <v>133.75000000000037</v>
      </c>
      <c r="Y41">
        <f>(1-L41)*E5b!L41</f>
        <v>199.99999999999994</v>
      </c>
      <c r="Z41">
        <f>(1-M41)*E5b!M41</f>
        <v>499.99999999999989</v>
      </c>
      <c r="AA41">
        <v>1</v>
      </c>
      <c r="AB41" s="3">
        <f>(E5b!C41-P41-(E5b!B41-O41))/(E5b!C41-E5b!B41)</f>
        <v>0</v>
      </c>
      <c r="AC41" s="68">
        <f>(E5b!D41-Q41-(E5b!C41-P41))/(E5b!D41-E5b!C41)</f>
        <v>0.72324074074073952</v>
      </c>
      <c r="AD41" s="68">
        <f>(E5b!E41-R41-(E5b!D41-Q41))/(E5b!E41-E5b!D41)</f>
        <v>0.36625000000000041</v>
      </c>
      <c r="AE41" s="3">
        <f>(E5b!F41-S41-(E5b!E41-R41))/(E5b!F41-E5b!E41)</f>
        <v>0.39220149253731329</v>
      </c>
      <c r="AF41" s="3">
        <f>(E5b!G41-T41-(E5b!F41-S41))/(E5b!G41-E5b!F41)</f>
        <v>0.45991935483870988</v>
      </c>
      <c r="AG41" s="3">
        <f>(E5b!H41-U41-(E5b!G41-T41))/(E5b!H41-E5b!G41)</f>
        <v>0.53166666666666673</v>
      </c>
      <c r="AH41" s="3">
        <f>(E5b!I41-V41-(E5b!H41-U41))/(E5b!I41-E5b!H41)</f>
        <v>0.66500000000000004</v>
      </c>
      <c r="AI41" s="3">
        <f>(E5b!J41-W41-(E5b!I41-V41))/(E5b!J41-E5b!I41)</f>
        <v>0.76500000000000001</v>
      </c>
      <c r="AJ41" s="3">
        <f>(E5b!K41-X41-(E5b!J41-W41))/(E5b!K41-E5b!J41)</f>
        <v>0.77749999999999886</v>
      </c>
      <c r="AK41" s="3">
        <f>(E5b!L41-Y41-(E5b!K41-X41))/(E5b!L41-E5b!K41)</f>
        <v>0.86750000000000071</v>
      </c>
      <c r="AL41" s="3">
        <f>(E5b!M41-Z41-(E5b!L41-Y41))/(E5b!M41-E5b!L41)</f>
        <v>0.92500000000000004</v>
      </c>
    </row>
    <row r="42" spans="1:38" ht="15.75" customHeight="1" x14ac:dyDescent="0.25">
      <c r="A42" s="21">
        <v>2064</v>
      </c>
      <c r="B42" s="22">
        <f t="shared" si="13"/>
        <v>0</v>
      </c>
      <c r="C42" s="22">
        <f t="shared" si="14"/>
        <v>0</v>
      </c>
      <c r="D42" s="22">
        <f t="shared" si="15"/>
        <v>0.18500000000000003</v>
      </c>
      <c r="E42" s="22">
        <f t="shared" si="16"/>
        <v>0.23500000000000004</v>
      </c>
      <c r="F42" s="22">
        <f t="shared" si="17"/>
        <v>0.28500000000000003</v>
      </c>
      <c r="G42" s="22">
        <f t="shared" si="18"/>
        <v>0.37000000000000005</v>
      </c>
      <c r="H42" s="22">
        <f t="shared" si="19"/>
        <v>0.47000000000000008</v>
      </c>
      <c r="I42" s="22">
        <f t="shared" si="20"/>
        <v>0.57000000000000006</v>
      </c>
      <c r="J42" s="22">
        <f t="shared" si="21"/>
        <v>0.67</v>
      </c>
      <c r="K42" s="22">
        <f t="shared" si="22"/>
        <v>0.73499999999999921</v>
      </c>
      <c r="L42" s="22">
        <f t="shared" si="23"/>
        <v>0.8</v>
      </c>
      <c r="M42" s="22">
        <f t="shared" si="24"/>
        <v>0.9</v>
      </c>
      <c r="N42" s="22"/>
      <c r="O42" s="71">
        <f>(1-B42)*E5b!B42</f>
        <v>3</v>
      </c>
      <c r="P42" s="71">
        <f>(1-C42)*E5b!C42</f>
        <v>4</v>
      </c>
      <c r="Q42" s="2">
        <f>(1-D42)*E5b!D42</f>
        <v>4.3195000000000014</v>
      </c>
      <c r="R42" s="2">
        <f>(1-E42)*E5b!E42</f>
        <v>5.5845000000000011</v>
      </c>
      <c r="S42" s="2">
        <f>(1-F42)*E5b!F42</f>
        <v>7.5790000000000033</v>
      </c>
      <c r="T42">
        <f>(1-G42)*E5b!G42</f>
        <v>12.599999999999998</v>
      </c>
      <c r="U42">
        <f>(1-H42)*E5b!H42</f>
        <v>26.499999999999996</v>
      </c>
      <c r="V42">
        <f>(1-I42)*E5b!I42</f>
        <v>42.999999999999993</v>
      </c>
      <c r="W42">
        <f>(1-J42)*E5b!J42</f>
        <v>65.999999999999986</v>
      </c>
      <c r="X42">
        <f>(1-K42)*E5b!K42</f>
        <v>132.5000000000004</v>
      </c>
      <c r="Y42">
        <f>(1-L42)*E5b!L42</f>
        <v>199.99999999999994</v>
      </c>
      <c r="Z42">
        <f>(1-M42)*E5b!M42</f>
        <v>499.99999999999989</v>
      </c>
      <c r="AA42">
        <v>1</v>
      </c>
      <c r="AB42" s="3">
        <f>(E5b!C42-P42-(E5b!B42-O42))/(E5b!C42-E5b!B42)</f>
        <v>0</v>
      </c>
      <c r="AC42" s="68">
        <f>(E5b!D42-Q42-(E5b!C42-P42))/(E5b!D42-E5b!C42)</f>
        <v>0.75423076923076859</v>
      </c>
      <c r="AD42" s="68">
        <f>(E5b!E42-R42-(E5b!D42-Q42))/(E5b!E42-E5b!D42)</f>
        <v>0.36750000000000016</v>
      </c>
      <c r="AE42" s="3">
        <f>(E5b!F42-S42-(E5b!E42-R42))/(E5b!F42-E5b!E42)</f>
        <v>0.39560606060606041</v>
      </c>
      <c r="AF42" s="3">
        <f>(E5b!G42-T42-(E5b!F42-S42))/(E5b!G42-E5b!F42)</f>
        <v>0.46585106382978753</v>
      </c>
      <c r="AG42" s="3">
        <f>(E5b!H42-U42-(E5b!G42-T42))/(E5b!H42-E5b!G42)</f>
        <v>0.53666666666666674</v>
      </c>
      <c r="AH42" s="3">
        <f>(E5b!I42-V42-(E5b!H42-U42))/(E5b!I42-E5b!H42)</f>
        <v>0.67</v>
      </c>
      <c r="AI42" s="3">
        <f>(E5b!J42-W42-(E5b!I42-V42))/(E5b!J42-E5b!I42)</f>
        <v>0.77</v>
      </c>
      <c r="AJ42" s="3">
        <f>(E5b!K42-X42-(E5b!J42-W42))/(E5b!K42-E5b!J42)</f>
        <v>0.77833333333333199</v>
      </c>
      <c r="AK42" s="3">
        <f>(E5b!L42-Y42-(E5b!K42-X42))/(E5b!L42-E5b!K42)</f>
        <v>0.86500000000000077</v>
      </c>
      <c r="AL42" s="3">
        <f>(E5b!M42-Z42-(E5b!L42-Y42))/(E5b!M42-E5b!L42)</f>
        <v>0.92500000000000004</v>
      </c>
    </row>
    <row r="43" spans="1:38" ht="15.75" customHeight="1" x14ac:dyDescent="0.25">
      <c r="A43" s="21">
        <v>2065</v>
      </c>
      <c r="B43" s="22">
        <f t="shared" si="13"/>
        <v>0</v>
      </c>
      <c r="C43" s="22">
        <f t="shared" si="14"/>
        <v>0</v>
      </c>
      <c r="D43" s="22">
        <f t="shared" si="15"/>
        <v>0.18750000000000003</v>
      </c>
      <c r="E43" s="22">
        <f t="shared" si="16"/>
        <v>0.23750000000000004</v>
      </c>
      <c r="F43" s="22">
        <f t="shared" si="17"/>
        <v>0.28750000000000003</v>
      </c>
      <c r="G43" s="22">
        <f t="shared" si="18"/>
        <v>0.37500000000000006</v>
      </c>
      <c r="H43" s="22">
        <f t="shared" si="19"/>
        <v>0.47500000000000009</v>
      </c>
      <c r="I43" s="22">
        <f t="shared" si="20"/>
        <v>0.57500000000000007</v>
      </c>
      <c r="J43" s="22">
        <f t="shared" si="21"/>
        <v>0.67500000000000004</v>
      </c>
      <c r="K43" s="22">
        <f t="shared" si="22"/>
        <v>0.73749999999999916</v>
      </c>
      <c r="L43" s="22">
        <f t="shared" si="23"/>
        <v>0.8</v>
      </c>
      <c r="M43" s="22">
        <f t="shared" si="24"/>
        <v>0.9</v>
      </c>
      <c r="N43" s="22"/>
      <c r="O43" s="71">
        <f>(1-B43)*E5b!B43</f>
        <v>3</v>
      </c>
      <c r="P43" s="71">
        <f>(1-C43)*E5b!C43</f>
        <v>4</v>
      </c>
      <c r="Q43" s="2">
        <f>(1-D43)*E5b!D43</f>
        <v>4.2656250000000018</v>
      </c>
      <c r="R43" s="2">
        <f>(1-E43)*E5b!E43</f>
        <v>5.528125000000002</v>
      </c>
      <c r="S43" s="2">
        <f>(1-F43)*E5b!F43</f>
        <v>7.4812500000000028</v>
      </c>
      <c r="T43">
        <f>(1-G43)*E5b!G43</f>
        <v>12.5</v>
      </c>
      <c r="U43">
        <f>(1-H43)*E5b!H43</f>
        <v>26.249999999999996</v>
      </c>
      <c r="V43">
        <f>(1-I43)*E5b!I43</f>
        <v>42.499999999999993</v>
      </c>
      <c r="W43">
        <f>(1-J43)*E5b!J43</f>
        <v>64.999999999999986</v>
      </c>
      <c r="X43">
        <f>(1-K43)*E5b!K43</f>
        <v>131.25000000000043</v>
      </c>
      <c r="Y43">
        <f>(1-L43)*E5b!L43</f>
        <v>199.99999999999994</v>
      </c>
      <c r="Z43">
        <f>(1-M43)*E5b!M43</f>
        <v>499.99999999999989</v>
      </c>
      <c r="AA43">
        <v>1</v>
      </c>
      <c r="AB43" s="3">
        <f>(E5b!C43-P43-(E5b!B43-O43))/(E5b!C43-E5b!B43)</f>
        <v>0</v>
      </c>
      <c r="AC43" s="68">
        <f>(E5b!D43-Q43-(E5b!C43-P43))/(E5b!D43-E5b!C43)</f>
        <v>0.78749999999999898</v>
      </c>
      <c r="AD43" s="68">
        <f>(E5b!E43-R43-(E5b!D43-Q43))/(E5b!E43-E5b!D43)</f>
        <v>0.36874999999999991</v>
      </c>
      <c r="AE43" s="3">
        <f>(E5b!F43-S43-(E5b!E43-R43))/(E5b!F43-E5b!E43)</f>
        <v>0.39903846153846173</v>
      </c>
      <c r="AF43" s="3">
        <f>(E5b!G43-T43-(E5b!F43-S43))/(E5b!G43-E5b!F43)</f>
        <v>0.47171052631578947</v>
      </c>
      <c r="AG43" s="3">
        <f>(E5b!H43-U43-(E5b!G43-T43))/(E5b!H43-E5b!G43)</f>
        <v>0.54166666666666674</v>
      </c>
      <c r="AH43" s="3">
        <f>(E5b!I43-V43-(E5b!H43-U43))/(E5b!I43-E5b!H43)</f>
        <v>0.67500000000000004</v>
      </c>
      <c r="AI43" s="3">
        <f>(E5b!J43-W43-(E5b!I43-V43))/(E5b!J43-E5b!I43)</f>
        <v>0.77500000000000002</v>
      </c>
      <c r="AJ43" s="3">
        <f>(E5b!K43-X43-(E5b!J43-W43))/(E5b!K43-E5b!J43)</f>
        <v>0.77916666666666512</v>
      </c>
      <c r="AK43" s="3">
        <f>(E5b!L43-Y43-(E5b!K43-X43))/(E5b!L43-E5b!K43)</f>
        <v>0.86250000000000093</v>
      </c>
      <c r="AL43" s="3">
        <f>(E5b!M43-Z43-(E5b!L43-Y43))/(E5b!M43-E5b!L43)</f>
        <v>0.92500000000000004</v>
      </c>
    </row>
    <row r="44" spans="1:38" ht="15.75" customHeight="1" x14ac:dyDescent="0.25">
      <c r="A44" s="21">
        <v>2066</v>
      </c>
      <c r="B44" s="22">
        <f t="shared" si="13"/>
        <v>0</v>
      </c>
      <c r="C44" s="22">
        <f t="shared" si="14"/>
        <v>0</v>
      </c>
      <c r="D44" s="22">
        <f t="shared" si="15"/>
        <v>0.19000000000000003</v>
      </c>
      <c r="E44" s="22">
        <f t="shared" si="16"/>
        <v>0.24000000000000005</v>
      </c>
      <c r="F44" s="22">
        <f t="shared" si="17"/>
        <v>0.29000000000000004</v>
      </c>
      <c r="G44" s="22">
        <f t="shared" si="18"/>
        <v>0.38000000000000006</v>
      </c>
      <c r="H44" s="22">
        <f t="shared" si="19"/>
        <v>0.48000000000000009</v>
      </c>
      <c r="I44" s="22">
        <f t="shared" si="20"/>
        <v>0.58000000000000007</v>
      </c>
      <c r="J44" s="22">
        <f t="shared" si="21"/>
        <v>0.68</v>
      </c>
      <c r="K44" s="22">
        <f t="shared" si="22"/>
        <v>0.7399999999999991</v>
      </c>
      <c r="L44" s="22">
        <f t="shared" si="23"/>
        <v>0.8</v>
      </c>
      <c r="M44" s="22">
        <f t="shared" si="24"/>
        <v>0.9</v>
      </c>
      <c r="N44" s="22"/>
      <c r="O44" s="71">
        <f>(1-B44)*E5b!B44</f>
        <v>3</v>
      </c>
      <c r="P44" s="71">
        <f>(1-C44)*E5b!C44</f>
        <v>4</v>
      </c>
      <c r="Q44" s="2">
        <f>(1-D44)*E5b!D44</f>
        <v>4.2120000000000024</v>
      </c>
      <c r="R44" s="2">
        <f>(1-E44)*E5b!E44</f>
        <v>5.4720000000000022</v>
      </c>
      <c r="S44" s="2">
        <f>(1-F44)*E5b!F44</f>
        <v>7.3840000000000039</v>
      </c>
      <c r="T44">
        <f>(1-G44)*E5b!G44</f>
        <v>12.399999999999999</v>
      </c>
      <c r="U44">
        <f>(1-H44)*E5b!H44</f>
        <v>25.999999999999996</v>
      </c>
      <c r="V44">
        <f>(1-I44)*E5b!I44</f>
        <v>41.999999999999993</v>
      </c>
      <c r="W44">
        <f>(1-J44)*E5b!J44</f>
        <v>63.999999999999993</v>
      </c>
      <c r="X44">
        <f>(1-K44)*E5b!K44</f>
        <v>130.00000000000045</v>
      </c>
      <c r="Y44">
        <f>(1-L44)*E5b!L44</f>
        <v>199.99999999999994</v>
      </c>
      <c r="Z44">
        <f>(1-M44)*E5b!M44</f>
        <v>499.99999999999989</v>
      </c>
      <c r="AA44">
        <v>1</v>
      </c>
      <c r="AB44" s="3">
        <f>(E5b!C44-P44-(E5b!B44-O44))/(E5b!C44-E5b!B44)</f>
        <v>0</v>
      </c>
      <c r="AC44" s="68">
        <f>(E5b!D44-Q44-(E5b!C44-P44))/(E5b!D44-E5b!C44)</f>
        <v>0.8233333333333317</v>
      </c>
      <c r="AD44" s="68">
        <f>(E5b!E44-R44-(E5b!D44-Q44))/(E5b!E44-E5b!D44)</f>
        <v>0.37000000000000011</v>
      </c>
      <c r="AE44" s="3">
        <f>(E5b!F44-S44-(E5b!E44-R44))/(E5b!F44-E5b!E44)</f>
        <v>0.40250000000000002</v>
      </c>
      <c r="AF44" s="3">
        <f>(E5b!G44-T44-(E5b!F44-S44))/(E5b!G44-E5b!F44)</f>
        <v>0.47750000000000026</v>
      </c>
      <c r="AG44" s="3">
        <f>(E5b!H44-U44-(E5b!G44-T44))/(E5b!H44-E5b!G44)</f>
        <v>0.54666666666666675</v>
      </c>
      <c r="AH44" s="3">
        <f>(E5b!I44-V44-(E5b!H44-U44))/(E5b!I44-E5b!H44)</f>
        <v>0.68</v>
      </c>
      <c r="AI44" s="3">
        <f>(E5b!J44-W44-(E5b!I44-V44))/(E5b!J44-E5b!I44)</f>
        <v>0.78</v>
      </c>
      <c r="AJ44" s="3">
        <f>(E5b!K44-X44-(E5b!J44-W44))/(E5b!K44-E5b!J44)</f>
        <v>0.77999999999999847</v>
      </c>
      <c r="AK44" s="3">
        <f>(E5b!L44-Y44-(E5b!K44-X44))/(E5b!L44-E5b!K44)</f>
        <v>0.86000000000000087</v>
      </c>
      <c r="AL44" s="3">
        <f>(E5b!M44-Z44-(E5b!L44-Y44))/(E5b!M44-E5b!L44)</f>
        <v>0.92500000000000004</v>
      </c>
    </row>
    <row r="45" spans="1:38" ht="15.75" customHeight="1" x14ac:dyDescent="0.25">
      <c r="A45" s="21">
        <v>2067</v>
      </c>
      <c r="B45" s="22">
        <f t="shared" si="13"/>
        <v>0</v>
      </c>
      <c r="C45" s="22">
        <f t="shared" si="14"/>
        <v>0</v>
      </c>
      <c r="D45" s="22">
        <f t="shared" si="15"/>
        <v>0.19250000000000003</v>
      </c>
      <c r="E45" s="22">
        <f t="shared" si="16"/>
        <v>0.24250000000000005</v>
      </c>
      <c r="F45" s="22">
        <f t="shared" si="17"/>
        <v>0.29250000000000004</v>
      </c>
      <c r="G45" s="22">
        <f t="shared" si="18"/>
        <v>0.38500000000000006</v>
      </c>
      <c r="H45" s="22">
        <f t="shared" si="19"/>
        <v>0.4850000000000001</v>
      </c>
      <c r="I45" s="22">
        <f t="shared" si="20"/>
        <v>0.58500000000000008</v>
      </c>
      <c r="J45" s="22">
        <f t="shared" si="21"/>
        <v>0.68500000000000005</v>
      </c>
      <c r="K45" s="22">
        <f t="shared" si="22"/>
        <v>0.74249999999999905</v>
      </c>
      <c r="L45" s="22">
        <f t="shared" si="23"/>
        <v>0.8</v>
      </c>
      <c r="M45" s="22">
        <f t="shared" si="24"/>
        <v>0.9</v>
      </c>
      <c r="N45" s="22"/>
      <c r="O45" s="71">
        <f>(1-B45)*E5b!B45</f>
        <v>3</v>
      </c>
      <c r="P45" s="71">
        <f>(1-C45)*E5b!C45</f>
        <v>4</v>
      </c>
      <c r="Q45" s="2">
        <f>(1-D45)*E5b!D45</f>
        <v>4.1586250000000025</v>
      </c>
      <c r="R45" s="2">
        <f>(1-E45)*E5b!E45</f>
        <v>5.4161250000000019</v>
      </c>
      <c r="S45" s="2">
        <f>(1-F45)*E5b!F45</f>
        <v>7.2872500000000047</v>
      </c>
      <c r="T45">
        <f>(1-G45)*E5b!G45</f>
        <v>12.3</v>
      </c>
      <c r="U45">
        <f>(1-H45)*E5b!H45</f>
        <v>25.749999999999996</v>
      </c>
      <c r="V45">
        <f>(1-I45)*E5b!I45</f>
        <v>41.499999999999993</v>
      </c>
      <c r="W45">
        <f>(1-J45)*E5b!J45</f>
        <v>62.999999999999986</v>
      </c>
      <c r="X45">
        <f>(1-K45)*E5b!K45</f>
        <v>128.75000000000048</v>
      </c>
      <c r="Y45">
        <f>(1-L45)*E5b!L45</f>
        <v>199.99999999999994</v>
      </c>
      <c r="Z45">
        <f>(1-M45)*E5b!M45</f>
        <v>499.99999999999989</v>
      </c>
      <c r="AA45">
        <v>1</v>
      </c>
      <c r="AB45" s="3">
        <f>(E5b!C45-P45-(E5b!B45-O45))/(E5b!C45-E5b!B45)</f>
        <v>0</v>
      </c>
      <c r="AC45" s="68">
        <f>(E5b!D45-Q45-(E5b!C45-P45))/(E5b!D45-E5b!C45)</f>
        <v>0.8620652173913026</v>
      </c>
      <c r="AD45" s="68">
        <f>(E5b!E45-R45-(E5b!D45-Q45))/(E5b!E45-E5b!D45)</f>
        <v>0.3712500000000003</v>
      </c>
      <c r="AE45" s="3">
        <f>(E5b!F45-S45-(E5b!E45-R45))/(E5b!F45-E5b!E45)</f>
        <v>0.40599206349206318</v>
      </c>
      <c r="AF45" s="3">
        <f>(E5b!G45-T45-(E5b!F45-S45))/(E5b!G45-E5b!F45)</f>
        <v>0.48322164948453616</v>
      </c>
      <c r="AG45" s="3">
        <f>(E5b!H45-U45-(E5b!G45-T45))/(E5b!H45-E5b!G45)</f>
        <v>0.55166666666666686</v>
      </c>
      <c r="AH45" s="3">
        <f>(E5b!I45-V45-(E5b!H45-U45))/(E5b!I45-E5b!H45)</f>
        <v>0.68500000000000005</v>
      </c>
      <c r="AI45" s="3">
        <f>(E5b!J45-W45-(E5b!I45-V45))/(E5b!J45-E5b!I45)</f>
        <v>0.78500000000000003</v>
      </c>
      <c r="AJ45" s="3">
        <f>(E5b!K45-X45-(E5b!J45-W45))/(E5b!K45-E5b!J45)</f>
        <v>0.78083333333333182</v>
      </c>
      <c r="AK45" s="3">
        <f>(E5b!L45-Y45-(E5b!K45-X45))/(E5b!L45-E5b!K45)</f>
        <v>0.85750000000000093</v>
      </c>
      <c r="AL45" s="3">
        <f>(E5b!M45-Z45-(E5b!L45-Y45))/(E5b!M45-E5b!L45)</f>
        <v>0.92500000000000004</v>
      </c>
    </row>
    <row r="46" spans="1:38" ht="15.75" customHeight="1" x14ac:dyDescent="0.25">
      <c r="A46" s="21">
        <v>2068</v>
      </c>
      <c r="B46" s="22">
        <f t="shared" si="13"/>
        <v>0</v>
      </c>
      <c r="C46" s="22">
        <f t="shared" si="14"/>
        <v>0</v>
      </c>
      <c r="D46" s="22">
        <f t="shared" si="15"/>
        <v>0.19500000000000003</v>
      </c>
      <c r="E46" s="22">
        <f t="shared" si="16"/>
        <v>0.24500000000000005</v>
      </c>
      <c r="F46" s="22">
        <f t="shared" si="17"/>
        <v>0.29500000000000004</v>
      </c>
      <c r="G46" s="22">
        <f t="shared" si="18"/>
        <v>0.39000000000000007</v>
      </c>
      <c r="H46" s="22">
        <f t="shared" si="19"/>
        <v>0.4900000000000001</v>
      </c>
      <c r="I46" s="22">
        <f t="shared" si="20"/>
        <v>0.59000000000000008</v>
      </c>
      <c r="J46" s="22">
        <f t="shared" si="21"/>
        <v>0.69000000000000006</v>
      </c>
      <c r="K46" s="22">
        <f t="shared" si="22"/>
        <v>0.744999999999999</v>
      </c>
      <c r="L46" s="22">
        <f t="shared" si="23"/>
        <v>0.8</v>
      </c>
      <c r="M46" s="22">
        <f t="shared" si="24"/>
        <v>0.9</v>
      </c>
      <c r="N46" s="22"/>
      <c r="O46" s="71">
        <f>(1-B46)*E5b!B46</f>
        <v>3</v>
      </c>
      <c r="P46" s="71">
        <f>(1-C46)*E5b!C46</f>
        <v>4</v>
      </c>
      <c r="Q46" s="2">
        <f>(1-D46)*E5b!D46</f>
        <v>4.1055000000000019</v>
      </c>
      <c r="R46" s="2">
        <f>(1-E46)*E5b!E46</f>
        <v>5.3605000000000018</v>
      </c>
      <c r="S46" s="2">
        <f>(1-F46)*E5b!F46</f>
        <v>7.1910000000000043</v>
      </c>
      <c r="T46">
        <f>(1-G46)*E5b!G46</f>
        <v>12.199999999999998</v>
      </c>
      <c r="U46">
        <f>(1-H46)*E5b!H46</f>
        <v>25.499999999999996</v>
      </c>
      <c r="V46">
        <f>(1-I46)*E5b!I46</f>
        <v>40.999999999999993</v>
      </c>
      <c r="W46">
        <f>(1-J46)*E5b!J46</f>
        <v>61.999999999999986</v>
      </c>
      <c r="X46">
        <f>(1-K46)*E5b!K46</f>
        <v>127.5000000000005</v>
      </c>
      <c r="Y46">
        <f>(1-L46)*E5b!L46</f>
        <v>199.99999999999994</v>
      </c>
      <c r="Z46">
        <f>(1-M46)*E5b!M46</f>
        <v>499.99999999999989</v>
      </c>
      <c r="AA46">
        <v>1</v>
      </c>
      <c r="AB46" s="3">
        <f>(E5b!C46-P46-(E5b!B46-O46))/(E5b!C46-E5b!B46)</f>
        <v>0</v>
      </c>
      <c r="AC46" s="68">
        <f>(E5b!D46-Q46-(E5b!C46-P46))/(E5b!D46-E5b!C46)</f>
        <v>0.90409090909090761</v>
      </c>
      <c r="AD46" s="68">
        <f>(E5b!E46-R46-(E5b!D46-Q46))/(E5b!E46-E5b!D46)</f>
        <v>0.37250000000000005</v>
      </c>
      <c r="AE46" s="3">
        <f>(E5b!F46-S46-(E5b!E46-R46))/(E5b!F46-E5b!E46)</f>
        <v>0.40951612903225787</v>
      </c>
      <c r="AF46" s="3">
        <f>(E5b!G46-T46-(E5b!F46-S46))/(E5b!G46-E5b!F46)</f>
        <v>0.48887755102040853</v>
      </c>
      <c r="AG46" s="3">
        <f>(E5b!H46-U46-(E5b!G46-T46))/(E5b!H46-E5b!G46)</f>
        <v>0.55666666666666675</v>
      </c>
      <c r="AH46" s="3">
        <f>(E5b!I46-V46-(E5b!H46-U46))/(E5b!I46-E5b!H46)</f>
        <v>0.69</v>
      </c>
      <c r="AI46" s="3">
        <f>(E5b!J46-W46-(E5b!I46-V46))/(E5b!J46-E5b!I46)</f>
        <v>0.79</v>
      </c>
      <c r="AJ46" s="3">
        <f>(E5b!K46-X46-(E5b!J46-W46))/(E5b!K46-E5b!J46)</f>
        <v>0.78166666666666496</v>
      </c>
      <c r="AK46" s="3">
        <f>(E5b!L46-Y46-(E5b!K46-X46))/(E5b!L46-E5b!K46)</f>
        <v>0.85500000000000098</v>
      </c>
      <c r="AL46" s="3">
        <f>(E5b!M46-Z46-(E5b!L46-Y46))/(E5b!M46-E5b!L46)</f>
        <v>0.92500000000000004</v>
      </c>
    </row>
    <row r="47" spans="1:38" ht="15.75" customHeight="1" x14ac:dyDescent="0.25">
      <c r="A47" s="21">
        <v>2069</v>
      </c>
      <c r="B47" s="22">
        <f t="shared" si="13"/>
        <v>0</v>
      </c>
      <c r="C47" s="22">
        <f t="shared" si="14"/>
        <v>0</v>
      </c>
      <c r="D47" s="22">
        <f t="shared" si="15"/>
        <v>0.19750000000000004</v>
      </c>
      <c r="E47" s="22">
        <f t="shared" si="16"/>
        <v>0.24750000000000005</v>
      </c>
      <c r="F47" s="22">
        <f t="shared" si="17"/>
        <v>0.29750000000000004</v>
      </c>
      <c r="G47" s="22">
        <f t="shared" si="18"/>
        <v>0.39500000000000007</v>
      </c>
      <c r="H47" s="22">
        <f t="shared" si="19"/>
        <v>0.49500000000000011</v>
      </c>
      <c r="I47" s="22">
        <f t="shared" si="20"/>
        <v>0.59500000000000008</v>
      </c>
      <c r="J47" s="22">
        <f t="shared" si="21"/>
        <v>0.69500000000000006</v>
      </c>
      <c r="K47" s="22">
        <f t="shared" si="22"/>
        <v>0.74749999999999894</v>
      </c>
      <c r="L47" s="22">
        <f t="shared" si="23"/>
        <v>0.8</v>
      </c>
      <c r="M47" s="22">
        <f t="shared" si="24"/>
        <v>0.9</v>
      </c>
      <c r="N47" s="22"/>
      <c r="O47" s="71">
        <f>(1-B47)*E5b!B47</f>
        <v>3</v>
      </c>
      <c r="P47" s="71">
        <f>(1-C47)*E5b!C47</f>
        <v>4</v>
      </c>
      <c r="Q47" s="2">
        <f>(1-D47)*E5b!D47</f>
        <v>4.0526250000000026</v>
      </c>
      <c r="R47" s="2">
        <f>(1-E47)*E5b!E47</f>
        <v>5.3051250000000021</v>
      </c>
      <c r="S47" s="2">
        <f>(1-F47)*E5b!F47</f>
        <v>7.0952500000000036</v>
      </c>
      <c r="T47">
        <f>(1-G47)*E5b!G47</f>
        <v>12.1</v>
      </c>
      <c r="U47">
        <f>(1-H47)*E5b!H47</f>
        <v>25.249999999999993</v>
      </c>
      <c r="V47">
        <f>(1-I47)*E5b!I47</f>
        <v>40.499999999999993</v>
      </c>
      <c r="W47">
        <f>(1-J47)*E5b!J47</f>
        <v>60.999999999999986</v>
      </c>
      <c r="X47">
        <f>(1-K47)*E5b!K47</f>
        <v>126.25000000000053</v>
      </c>
      <c r="Y47">
        <f>(1-L47)*E5b!L47</f>
        <v>199.99999999999994</v>
      </c>
      <c r="Z47">
        <f>(1-M47)*E5b!M47</f>
        <v>499.99999999999989</v>
      </c>
      <c r="AA47">
        <v>1</v>
      </c>
      <c r="AB47" s="3">
        <f>(E5b!C47-P47-(E5b!B47-O47))/(E5b!C47-E5b!B47)</f>
        <v>0</v>
      </c>
      <c r="AC47" s="68">
        <f>(E5b!D47-Q47-(E5b!C47-P47))/(E5b!D47-E5b!C47)</f>
        <v>0.94988095238095005</v>
      </c>
      <c r="AD47" s="68">
        <f>(E5b!E47-R47-(E5b!D47-Q47))/(E5b!E47-E5b!D47)</f>
        <v>0.37375000000000025</v>
      </c>
      <c r="AE47" s="3">
        <f>(E5b!F47-S47-(E5b!E47-R47))/(E5b!F47-E5b!E47)</f>
        <v>0.41307377049180344</v>
      </c>
      <c r="AF47" s="3">
        <f>(E5b!G47-T47-(E5b!F47-S47))/(E5b!G47-E5b!F47)</f>
        <v>0.494469696969697</v>
      </c>
      <c r="AG47" s="3">
        <f>(E5b!H47-U47-(E5b!G47-T47))/(E5b!H47-E5b!G47)</f>
        <v>0.56166666666666698</v>
      </c>
      <c r="AH47" s="3">
        <f>(E5b!I47-V47-(E5b!H47-U47))/(E5b!I47-E5b!H47)</f>
        <v>0.69499999999999995</v>
      </c>
      <c r="AI47" s="3">
        <f>(E5b!J47-W47-(E5b!I47-V47))/(E5b!J47-E5b!I47)</f>
        <v>0.79500000000000004</v>
      </c>
      <c r="AJ47" s="3">
        <f>(E5b!K47-X47-(E5b!J47-W47))/(E5b!K47-E5b!J47)</f>
        <v>0.78249999999999831</v>
      </c>
      <c r="AK47" s="3">
        <f>(E5b!L47-Y47-(E5b!K47-X47))/(E5b!L47-E5b!K47)</f>
        <v>0.85250000000000103</v>
      </c>
      <c r="AL47" s="3">
        <f>(E5b!M47-Z47-(E5b!L47-Y47))/(E5b!M47-E5b!L47)</f>
        <v>0.92500000000000004</v>
      </c>
    </row>
    <row r="48" spans="1:38" ht="15.75" customHeight="1" x14ac:dyDescent="0.25">
      <c r="A48" s="21">
        <v>2070</v>
      </c>
      <c r="B48" s="30">
        <v>0</v>
      </c>
      <c r="C48" s="30">
        <v>0</v>
      </c>
      <c r="D48" s="30">
        <v>0.2</v>
      </c>
      <c r="E48" s="30">
        <v>0.25</v>
      </c>
      <c r="F48" s="30">
        <v>0.3</v>
      </c>
      <c r="G48" s="30">
        <v>0.4</v>
      </c>
      <c r="H48" s="30">
        <v>0.5</v>
      </c>
      <c r="I48" s="30">
        <v>0.6</v>
      </c>
      <c r="J48" s="30">
        <v>0.7</v>
      </c>
      <c r="K48" s="30">
        <v>0.75</v>
      </c>
      <c r="L48" s="30">
        <v>0.8</v>
      </c>
      <c r="M48" s="30">
        <v>0.9</v>
      </c>
      <c r="N48" s="30"/>
      <c r="O48" s="71">
        <f>(1-B48)*E5b!B48</f>
        <v>3</v>
      </c>
      <c r="P48" s="71">
        <f>(1-C48)*E5b!C48</f>
        <v>4</v>
      </c>
      <c r="Q48" s="2">
        <f>(1-D48)*E5b!D48</f>
        <v>4</v>
      </c>
      <c r="R48" s="2">
        <f>(1-E48)*E5b!E48</f>
        <v>5.25</v>
      </c>
      <c r="S48" s="2">
        <f>(1-F48)*E5b!F48</f>
        <v>7</v>
      </c>
      <c r="T48">
        <f>(1-G48)*E5b!G48</f>
        <v>12</v>
      </c>
      <c r="U48">
        <f>(1-H48)*E5b!H48</f>
        <v>25</v>
      </c>
      <c r="V48">
        <f>(1-I48)*E5b!I48</f>
        <v>40</v>
      </c>
      <c r="W48">
        <f>(1-J48)*E5b!J48</f>
        <v>60.000000000000007</v>
      </c>
      <c r="X48">
        <f>(1-K48)*E5b!K48</f>
        <v>125</v>
      </c>
      <c r="Y48">
        <f>(1-L48)*E5b!L48</f>
        <v>199.99999999999994</v>
      </c>
      <c r="Z48">
        <f>(1-M48)*E5b!M48</f>
        <v>499.99999999999989</v>
      </c>
      <c r="AA48">
        <v>1</v>
      </c>
      <c r="AB48" s="3">
        <f>(E5b!C48-P48-(E5b!B48-O48))/(E5b!C48-E5b!B48)</f>
        <v>0</v>
      </c>
      <c r="AC48" s="69">
        <f>(E5b!D48-Q48-(E5b!C48-P48))/(E5b!D48-E5b!C48)</f>
        <v>1</v>
      </c>
      <c r="AD48" s="68">
        <f>(E5b!E48-R48-(E5b!D48-Q48))/(E5b!E48-E5b!D48)</f>
        <v>0.375</v>
      </c>
      <c r="AE48" s="3">
        <f>(E5b!F48-S48-(E5b!E48-R48))/(E5b!F48-E5b!E48)</f>
        <v>0.41666666666666669</v>
      </c>
      <c r="AF48" s="3">
        <f>(E5b!G48-T48-(E5b!F48-S48))/(E5b!G48-E5b!F48)</f>
        <v>0.5</v>
      </c>
      <c r="AG48" s="3">
        <f>(E5b!H48-U48-(E5b!G48-T48))/(E5b!H48-E5b!G48)</f>
        <v>0.56666666666666665</v>
      </c>
      <c r="AH48" s="3">
        <f>(E5b!I48-V48-(E5b!H48-U48))/(E5b!I48-E5b!H48)</f>
        <v>0.7</v>
      </c>
      <c r="AI48" s="3">
        <f>(E5b!J48-W48-(E5b!I48-V48))/(E5b!J48-E5b!I48)</f>
        <v>0.8</v>
      </c>
      <c r="AJ48" s="3">
        <f>(E5b!K48-X48-(E5b!J48-W48))/(E5b!K48-E5b!J48)</f>
        <v>0.78333333333333333</v>
      </c>
      <c r="AK48" s="3">
        <f>(E5b!L48-Y48-(E5b!K48-X48))/(E5b!L48-E5b!K48)</f>
        <v>0.85</v>
      </c>
      <c r="AL48" s="3">
        <f>(E5b!M48-Z48-(E5b!L48-Y48))/(E5b!M48-E5b!L48)</f>
        <v>0.92500000000000004</v>
      </c>
    </row>
    <row r="49" spans="1:38" ht="15.75" customHeight="1" x14ac:dyDescent="0.25">
      <c r="A49" s="21">
        <v>2071</v>
      </c>
      <c r="B49" s="22">
        <f t="shared" ref="B49:B57" si="25">B48+(B$58-B$48)/10</f>
        <v>0</v>
      </c>
      <c r="C49" s="22">
        <f t="shared" ref="C49:C57" si="26">C48+(C$58-C$48)/10</f>
        <v>0</v>
      </c>
      <c r="D49" s="22">
        <f t="shared" ref="D49:D57" si="27">D48+(D$58-D$48)/10</f>
        <v>0.20500000000000002</v>
      </c>
      <c r="E49" s="22">
        <f t="shared" ref="E49:E57" si="28">E48+(E$58-E$48)/10</f>
        <v>0.255</v>
      </c>
      <c r="F49" s="22">
        <f t="shared" ref="F49:F57" si="29">F48+(F$58-F$48)/10</f>
        <v>0.31</v>
      </c>
      <c r="G49" s="22">
        <f t="shared" ref="G49:G57" si="30">G48+(G$58-G$48)/10</f>
        <v>0.41000000000000003</v>
      </c>
      <c r="H49" s="22">
        <f t="shared" ref="H49:H57" si="31">H48+(H$58-H$48)/10</f>
        <v>0.51</v>
      </c>
      <c r="I49" s="22">
        <f t="shared" ref="I49:I57" si="32">I48+(I$58-I$48)/10</f>
        <v>0.61</v>
      </c>
      <c r="J49" s="22">
        <f t="shared" ref="J49:J57" si="33">J48+(J$58-J$48)/10</f>
        <v>0.70499999999999996</v>
      </c>
      <c r="K49" s="22">
        <f t="shared" ref="K49:K57" si="34">K48+(K$58-K$48)/10</f>
        <v>0.755</v>
      </c>
      <c r="L49" s="22">
        <f t="shared" ref="L49:L57" si="35">L48+(L$58-L$48)/10</f>
        <v>0.80500000000000005</v>
      </c>
      <c r="M49" s="22">
        <f t="shared" ref="M49:M57" si="36">M48+(M$58-M$48)/10</f>
        <v>0.9</v>
      </c>
      <c r="N49" s="22"/>
      <c r="O49" s="71">
        <f>(1-B49)*E5b!B49</f>
        <v>3</v>
      </c>
      <c r="P49" s="71">
        <f>(1-C49)*E5b!C49</f>
        <v>4</v>
      </c>
      <c r="Q49" s="2">
        <f>(1-D49)*E5b!D49</f>
        <v>3.9749999999999996</v>
      </c>
      <c r="R49" s="2">
        <f>(1-E49)*E5b!E49</f>
        <v>5.2149999999999999</v>
      </c>
      <c r="S49" s="2">
        <f>(1-F49)*E5b!F49</f>
        <v>6.8999999999999995</v>
      </c>
      <c r="T49">
        <f>(1-G49)*E5b!G49</f>
        <v>11.799999999999999</v>
      </c>
      <c r="U49">
        <f>(1-H49)*E5b!H49</f>
        <v>24.5</v>
      </c>
      <c r="V49">
        <f>(1-I49)*E5b!I49</f>
        <v>39</v>
      </c>
      <c r="W49">
        <f>(1-J49)*E5b!J49</f>
        <v>59.000000000000007</v>
      </c>
      <c r="X49">
        <f>(1-K49)*E5b!K49</f>
        <v>122.5</v>
      </c>
      <c r="Y49">
        <f>(1-L49)*E5b!L49</f>
        <v>194.99999999999994</v>
      </c>
      <c r="Z49">
        <f>(1-M49)*E5b!M49</f>
        <v>499.99999999999989</v>
      </c>
      <c r="AA49">
        <v>1</v>
      </c>
      <c r="AB49" s="3">
        <f>(E5b!C49-P49-(E5b!B49-O49))/(E5b!C49-E5b!B49)</f>
        <v>0</v>
      </c>
      <c r="AC49" s="69">
        <f>(E5b!D49-Q49-(E5b!C49-P49))/(E5b!D49-E5b!C49)</f>
        <v>1.0250000000000004</v>
      </c>
      <c r="AD49" s="68">
        <f>(E5b!E49-R49-(E5b!D49-Q49))/(E5b!E49-E5b!D49)</f>
        <v>0.37999999999999989</v>
      </c>
      <c r="AE49" s="3">
        <f>(E5b!F49-S49-(E5b!E49-R49))/(E5b!F49-E5b!E49)</f>
        <v>0.43833333333333346</v>
      </c>
      <c r="AF49" s="3">
        <f>(E5b!G49-T49-(E5b!F49-S49))/(E5b!G49-E5b!F49)</f>
        <v>0.51</v>
      </c>
      <c r="AG49" s="3">
        <f>(E5b!H49-U49-(E5b!G49-T49))/(E5b!H49-E5b!G49)</f>
        <v>0.57666666666666655</v>
      </c>
      <c r="AH49" s="3">
        <f>(E5b!I49-V49-(E5b!H49-U49))/(E5b!I49-E5b!H49)</f>
        <v>0.71</v>
      </c>
      <c r="AI49" s="3">
        <f>(E5b!J49-W49-(E5b!I49-V49))/(E5b!J49-E5b!I49)</f>
        <v>0.8</v>
      </c>
      <c r="AJ49" s="3">
        <f>(E5b!K49-X49-(E5b!J49-W49))/(E5b!K49-E5b!J49)</f>
        <v>0.78833333333333333</v>
      </c>
      <c r="AK49" s="3">
        <f>(E5b!L49-Y49-(E5b!K49-X49))/(E5b!L49-E5b!K49)</f>
        <v>0.85499999999999998</v>
      </c>
      <c r="AL49" s="3">
        <f>(E5b!M49-Z49-(E5b!L49-Y49))/(E5b!M49-E5b!L49)</f>
        <v>0.92374999999999996</v>
      </c>
    </row>
    <row r="50" spans="1:38" ht="15.75" customHeight="1" x14ac:dyDescent="0.25">
      <c r="A50" s="21">
        <v>2072</v>
      </c>
      <c r="B50" s="22">
        <f t="shared" si="25"/>
        <v>0</v>
      </c>
      <c r="C50" s="22">
        <f t="shared" si="26"/>
        <v>0</v>
      </c>
      <c r="D50" s="22">
        <f t="shared" si="27"/>
        <v>0.21000000000000002</v>
      </c>
      <c r="E50" s="22">
        <f t="shared" si="28"/>
        <v>0.26</v>
      </c>
      <c r="F50" s="22">
        <f t="shared" si="29"/>
        <v>0.32</v>
      </c>
      <c r="G50" s="22">
        <f t="shared" si="30"/>
        <v>0.42000000000000004</v>
      </c>
      <c r="H50" s="22">
        <f t="shared" si="31"/>
        <v>0.52</v>
      </c>
      <c r="I50" s="22">
        <f t="shared" si="32"/>
        <v>0.62</v>
      </c>
      <c r="J50" s="22">
        <f t="shared" si="33"/>
        <v>0.71</v>
      </c>
      <c r="K50" s="22">
        <f t="shared" si="34"/>
        <v>0.76</v>
      </c>
      <c r="L50" s="22">
        <f t="shared" si="35"/>
        <v>0.81</v>
      </c>
      <c r="M50" s="22">
        <f t="shared" si="36"/>
        <v>0.9</v>
      </c>
      <c r="N50" s="22"/>
      <c r="O50" s="71">
        <f>(1-B50)*E5b!B50</f>
        <v>3</v>
      </c>
      <c r="P50" s="71">
        <f>(1-C50)*E5b!C50</f>
        <v>4</v>
      </c>
      <c r="Q50" s="2">
        <f>(1-D50)*E5b!D50</f>
        <v>3.95</v>
      </c>
      <c r="R50" s="2">
        <f>(1-E50)*E5b!E50</f>
        <v>5.18</v>
      </c>
      <c r="S50" s="2">
        <f>(1-F50)*E5b!F50</f>
        <v>6.7999999999999989</v>
      </c>
      <c r="T50">
        <f>(1-G50)*E5b!G50</f>
        <v>11.6</v>
      </c>
      <c r="U50">
        <f>(1-H50)*E5b!H50</f>
        <v>24</v>
      </c>
      <c r="V50">
        <f>(1-I50)*E5b!I50</f>
        <v>38</v>
      </c>
      <c r="W50">
        <f>(1-J50)*E5b!J50</f>
        <v>58.000000000000007</v>
      </c>
      <c r="X50">
        <f>(1-K50)*E5b!K50</f>
        <v>120</v>
      </c>
      <c r="Y50">
        <f>(1-L50)*E5b!L50</f>
        <v>189.99999999999994</v>
      </c>
      <c r="Z50">
        <f>(1-M50)*E5b!M50</f>
        <v>499.99999999999989</v>
      </c>
      <c r="AA50">
        <v>1</v>
      </c>
      <c r="AB50" s="3">
        <f>(E5b!C50-P50-(E5b!B50-O50))/(E5b!C50-E5b!B50)</f>
        <v>0</v>
      </c>
      <c r="AC50" s="69">
        <f>(E5b!D50-Q50-(E5b!C50-P50))/(E5b!D50-E5b!C50)</f>
        <v>1.0499999999999998</v>
      </c>
      <c r="AD50" s="68">
        <f>(E5b!E50-R50-(E5b!D50-Q50))/(E5b!E50-E5b!D50)</f>
        <v>0.38500000000000023</v>
      </c>
      <c r="AE50" s="3">
        <f>(E5b!F50-S50-(E5b!E50-R50))/(E5b!F50-E5b!E50)</f>
        <v>0.46000000000000024</v>
      </c>
      <c r="AF50" s="3">
        <f>(E5b!G50-T50-(E5b!F50-S50))/(E5b!G50-E5b!F50)</f>
        <v>0.51999999999999991</v>
      </c>
      <c r="AG50" s="3">
        <f>(E5b!H50-U50-(E5b!G50-T50))/(E5b!H50-E5b!G50)</f>
        <v>0.58666666666666667</v>
      </c>
      <c r="AH50" s="3">
        <f>(E5b!I50-V50-(E5b!H50-U50))/(E5b!I50-E5b!H50)</f>
        <v>0.72</v>
      </c>
      <c r="AI50" s="3">
        <f>(E5b!J50-W50-(E5b!I50-V50))/(E5b!J50-E5b!I50)</f>
        <v>0.8</v>
      </c>
      <c r="AJ50" s="3">
        <f>(E5b!K50-X50-(E5b!J50-W50))/(E5b!K50-E5b!J50)</f>
        <v>0.79333333333333333</v>
      </c>
      <c r="AK50" s="3">
        <f>(E5b!L50-Y50-(E5b!K50-X50))/(E5b!L50-E5b!K50)</f>
        <v>0.86</v>
      </c>
      <c r="AL50" s="3">
        <f>(E5b!M50-Z50-(E5b!L50-Y50))/(E5b!M50-E5b!L50)</f>
        <v>0.92249999999999999</v>
      </c>
    </row>
    <row r="51" spans="1:38" ht="15.75" customHeight="1" x14ac:dyDescent="0.25">
      <c r="A51" s="21">
        <v>2073</v>
      </c>
      <c r="B51" s="22">
        <f t="shared" si="25"/>
        <v>0</v>
      </c>
      <c r="C51" s="22">
        <f t="shared" si="26"/>
        <v>0</v>
      </c>
      <c r="D51" s="22">
        <f t="shared" si="27"/>
        <v>0.21500000000000002</v>
      </c>
      <c r="E51" s="22">
        <f t="shared" si="28"/>
        <v>0.26500000000000001</v>
      </c>
      <c r="F51" s="22">
        <f t="shared" si="29"/>
        <v>0.33</v>
      </c>
      <c r="G51" s="22">
        <f t="shared" si="30"/>
        <v>0.43000000000000005</v>
      </c>
      <c r="H51" s="22">
        <f t="shared" si="31"/>
        <v>0.53</v>
      </c>
      <c r="I51" s="22">
        <f t="shared" si="32"/>
        <v>0.63</v>
      </c>
      <c r="J51" s="22">
        <f t="shared" si="33"/>
        <v>0.71499999999999997</v>
      </c>
      <c r="K51" s="22">
        <f t="shared" si="34"/>
        <v>0.76500000000000001</v>
      </c>
      <c r="L51" s="22">
        <f t="shared" si="35"/>
        <v>0.81500000000000006</v>
      </c>
      <c r="M51" s="22">
        <f t="shared" si="36"/>
        <v>0.9</v>
      </c>
      <c r="N51" s="22"/>
      <c r="O51" s="71">
        <f>(1-B51)*E5b!B51</f>
        <v>3</v>
      </c>
      <c r="P51" s="71">
        <f>(1-C51)*E5b!C51</f>
        <v>4</v>
      </c>
      <c r="Q51" s="2">
        <f>(1-D51)*E5b!D51</f>
        <v>3.9249999999999998</v>
      </c>
      <c r="R51" s="2">
        <f>(1-E51)*E5b!E51</f>
        <v>5.1449999999999996</v>
      </c>
      <c r="S51" s="2">
        <f>(1-F51)*E5b!F51</f>
        <v>6.6999999999999993</v>
      </c>
      <c r="T51">
        <f>(1-G51)*E5b!G51</f>
        <v>11.399999999999999</v>
      </c>
      <c r="U51">
        <f>(1-H51)*E5b!H51</f>
        <v>23.5</v>
      </c>
      <c r="V51">
        <f>(1-I51)*E5b!I51</f>
        <v>37</v>
      </c>
      <c r="W51">
        <f>(1-J51)*E5b!J51</f>
        <v>57.000000000000007</v>
      </c>
      <c r="X51">
        <f>(1-K51)*E5b!K51</f>
        <v>117.5</v>
      </c>
      <c r="Y51">
        <f>(1-L51)*E5b!L51</f>
        <v>184.99999999999994</v>
      </c>
      <c r="Z51">
        <f>(1-M51)*E5b!M51</f>
        <v>499.99999999999989</v>
      </c>
      <c r="AA51">
        <v>1</v>
      </c>
      <c r="AB51" s="3">
        <f>(E5b!C51-P51-(E5b!B51-O51))/(E5b!C51-E5b!B51)</f>
        <v>0</v>
      </c>
      <c r="AC51" s="69">
        <f>(E5b!D51-Q51-(E5b!C51-P51))/(E5b!D51-E5b!C51)</f>
        <v>1.0750000000000002</v>
      </c>
      <c r="AD51" s="68">
        <f>(E5b!E51-R51-(E5b!D51-Q51))/(E5b!E51-E5b!D51)</f>
        <v>0.39000000000000012</v>
      </c>
      <c r="AE51" s="3">
        <f>(E5b!F51-S51-(E5b!E51-R51))/(E5b!F51-E5b!E51)</f>
        <v>0.48166666666666674</v>
      </c>
      <c r="AF51" s="3">
        <f>(E5b!G51-T51-(E5b!F51-S51))/(E5b!G51-E5b!F51)</f>
        <v>0.53</v>
      </c>
      <c r="AG51" s="3">
        <f>(E5b!H51-U51-(E5b!G51-T51))/(E5b!H51-E5b!G51)</f>
        <v>0.59666666666666657</v>
      </c>
      <c r="AH51" s="3">
        <f>(E5b!I51-V51-(E5b!H51-U51))/(E5b!I51-E5b!H51)</f>
        <v>0.73</v>
      </c>
      <c r="AI51" s="3">
        <f>(E5b!J51-W51-(E5b!I51-V51))/(E5b!J51-E5b!I51)</f>
        <v>0.8</v>
      </c>
      <c r="AJ51" s="3">
        <f>(E5b!K51-X51-(E5b!J51-W51))/(E5b!K51-E5b!J51)</f>
        <v>0.79833333333333334</v>
      </c>
      <c r="AK51" s="3">
        <f>(E5b!L51-Y51-(E5b!K51-X51))/(E5b!L51-E5b!K51)</f>
        <v>0.86499999999999999</v>
      </c>
      <c r="AL51" s="3">
        <f>(E5b!M51-Z51-(E5b!L51-Y51))/(E5b!M51-E5b!L51)</f>
        <v>0.92125000000000001</v>
      </c>
    </row>
    <row r="52" spans="1:38" ht="15.75" customHeight="1" x14ac:dyDescent="0.25">
      <c r="A52" s="21">
        <v>2074</v>
      </c>
      <c r="B52" s="22">
        <f t="shared" si="25"/>
        <v>0</v>
      </c>
      <c r="C52" s="22">
        <f t="shared" si="26"/>
        <v>0</v>
      </c>
      <c r="D52" s="22">
        <f t="shared" si="27"/>
        <v>0.22000000000000003</v>
      </c>
      <c r="E52" s="22">
        <f t="shared" si="28"/>
        <v>0.27</v>
      </c>
      <c r="F52" s="22">
        <f t="shared" si="29"/>
        <v>0.34</v>
      </c>
      <c r="G52" s="22">
        <f t="shared" si="30"/>
        <v>0.44000000000000006</v>
      </c>
      <c r="H52" s="22">
        <f t="shared" si="31"/>
        <v>0.54</v>
      </c>
      <c r="I52" s="22">
        <f t="shared" si="32"/>
        <v>0.64</v>
      </c>
      <c r="J52" s="22">
        <f t="shared" si="33"/>
        <v>0.72</v>
      </c>
      <c r="K52" s="22">
        <f t="shared" si="34"/>
        <v>0.77</v>
      </c>
      <c r="L52" s="22">
        <f t="shared" si="35"/>
        <v>0.82000000000000006</v>
      </c>
      <c r="M52" s="22">
        <f t="shared" si="36"/>
        <v>0.9</v>
      </c>
      <c r="N52" s="22"/>
      <c r="O52" s="71">
        <f>(1-B52)*E5b!B52</f>
        <v>3</v>
      </c>
      <c r="P52" s="71">
        <f>(1-C52)*E5b!C52</f>
        <v>4</v>
      </c>
      <c r="Q52" s="2">
        <f>(1-D52)*E5b!D52</f>
        <v>3.9000000000000004</v>
      </c>
      <c r="R52" s="2">
        <f>(1-E52)*E5b!E52</f>
        <v>5.1099999999999994</v>
      </c>
      <c r="S52" s="2">
        <f>(1-F52)*E5b!F52</f>
        <v>6.6</v>
      </c>
      <c r="T52">
        <f>(1-G52)*E5b!G52</f>
        <v>11.2</v>
      </c>
      <c r="U52">
        <f>(1-H52)*E5b!H52</f>
        <v>23</v>
      </c>
      <c r="V52">
        <f>(1-I52)*E5b!I52</f>
        <v>36</v>
      </c>
      <c r="W52">
        <f>(1-J52)*E5b!J52</f>
        <v>56.000000000000007</v>
      </c>
      <c r="X52">
        <f>(1-K52)*E5b!K52</f>
        <v>114.99999999999999</v>
      </c>
      <c r="Y52">
        <f>(1-L52)*E5b!L52</f>
        <v>179.99999999999994</v>
      </c>
      <c r="Z52">
        <f>(1-M52)*E5b!M52</f>
        <v>499.99999999999989</v>
      </c>
      <c r="AA52">
        <v>1</v>
      </c>
      <c r="AB52" s="3">
        <f>(E5b!C52-P52-(E5b!B52-O52))/(E5b!C52-E5b!B52)</f>
        <v>0</v>
      </c>
      <c r="AC52" s="69">
        <f>(E5b!D52-Q52-(E5b!C52-P52))/(E5b!D52-E5b!C52)</f>
        <v>1.0999999999999996</v>
      </c>
      <c r="AD52" s="68">
        <f>(E5b!E52-R52-(E5b!D52-Q52))/(E5b!E52-E5b!D52)</f>
        <v>0.39500000000000046</v>
      </c>
      <c r="AE52" s="3">
        <f>(E5b!F52-S52-(E5b!E52-R52))/(E5b!F52-E5b!E52)</f>
        <v>0.5033333333333333</v>
      </c>
      <c r="AF52" s="3">
        <f>(E5b!G52-T52-(E5b!F52-S52))/(E5b!G52-E5b!F52)</f>
        <v>0.54</v>
      </c>
      <c r="AG52" s="3">
        <f>(E5b!H52-U52-(E5b!G52-T52))/(E5b!H52-E5b!G52)</f>
        <v>0.60666666666666669</v>
      </c>
      <c r="AH52" s="3">
        <f>(E5b!I52-V52-(E5b!H52-U52))/(E5b!I52-E5b!H52)</f>
        <v>0.74</v>
      </c>
      <c r="AI52" s="3">
        <f>(E5b!J52-W52-(E5b!I52-V52))/(E5b!J52-E5b!I52)</f>
        <v>0.8</v>
      </c>
      <c r="AJ52" s="3">
        <f>(E5b!K52-X52-(E5b!J52-W52))/(E5b!K52-E5b!J52)</f>
        <v>0.80333333333333334</v>
      </c>
      <c r="AK52" s="3">
        <f>(E5b!L52-Y52-(E5b!K52-X52))/(E5b!L52-E5b!K52)</f>
        <v>0.87</v>
      </c>
      <c r="AL52" s="3">
        <f>(E5b!M52-Z52-(E5b!L52-Y52))/(E5b!M52-E5b!L52)</f>
        <v>0.92</v>
      </c>
    </row>
    <row r="53" spans="1:38" ht="15.75" customHeight="1" x14ac:dyDescent="0.25">
      <c r="A53" s="21">
        <v>2075</v>
      </c>
      <c r="B53" s="22">
        <f t="shared" si="25"/>
        <v>0</v>
      </c>
      <c r="C53" s="22">
        <f t="shared" si="26"/>
        <v>0</v>
      </c>
      <c r="D53" s="22">
        <f t="shared" si="27"/>
        <v>0.22500000000000003</v>
      </c>
      <c r="E53" s="22">
        <f t="shared" si="28"/>
        <v>0.27500000000000002</v>
      </c>
      <c r="F53" s="22">
        <f t="shared" si="29"/>
        <v>0.35000000000000003</v>
      </c>
      <c r="G53" s="22">
        <f t="shared" si="30"/>
        <v>0.45000000000000007</v>
      </c>
      <c r="H53" s="22">
        <f t="shared" si="31"/>
        <v>0.55000000000000004</v>
      </c>
      <c r="I53" s="22">
        <f t="shared" si="32"/>
        <v>0.65</v>
      </c>
      <c r="J53" s="22">
        <f t="shared" si="33"/>
        <v>0.72499999999999998</v>
      </c>
      <c r="K53" s="22">
        <f t="shared" si="34"/>
        <v>0.77500000000000002</v>
      </c>
      <c r="L53" s="22">
        <f t="shared" si="35"/>
        <v>0.82500000000000007</v>
      </c>
      <c r="M53" s="22">
        <f t="shared" si="36"/>
        <v>0.9</v>
      </c>
      <c r="N53" s="22"/>
      <c r="O53" s="71">
        <f>(1-B53)*E5b!B53</f>
        <v>3</v>
      </c>
      <c r="P53" s="71">
        <f>(1-C53)*E5b!C53</f>
        <v>4</v>
      </c>
      <c r="Q53" s="2">
        <f>(1-D53)*E5b!D53</f>
        <v>3.8749999999999996</v>
      </c>
      <c r="R53" s="2">
        <f>(1-E53)*E5b!E53</f>
        <v>5.0750000000000002</v>
      </c>
      <c r="S53" s="2">
        <f>(1-F53)*E5b!F53</f>
        <v>6.4999999999999991</v>
      </c>
      <c r="T53">
        <f>(1-G53)*E5b!G53</f>
        <v>10.999999999999998</v>
      </c>
      <c r="U53">
        <f>(1-H53)*E5b!H53</f>
        <v>22.499999999999996</v>
      </c>
      <c r="V53">
        <f>(1-I53)*E5b!I53</f>
        <v>35</v>
      </c>
      <c r="W53">
        <f>(1-J53)*E5b!J53</f>
        <v>55.000000000000007</v>
      </c>
      <c r="X53">
        <f>(1-K53)*E5b!K53</f>
        <v>112.49999999999999</v>
      </c>
      <c r="Y53">
        <f>(1-L53)*E5b!L53</f>
        <v>174.99999999999994</v>
      </c>
      <c r="Z53">
        <f>(1-M53)*E5b!M53</f>
        <v>499.99999999999989</v>
      </c>
      <c r="AA53">
        <v>1</v>
      </c>
      <c r="AB53" s="3">
        <f>(E5b!C53-P53-(E5b!B53-O53))/(E5b!C53-E5b!B53)</f>
        <v>0</v>
      </c>
      <c r="AC53" s="69">
        <f>(E5b!D53-Q53-(E5b!C53-P53))/(E5b!D53-E5b!C53)</f>
        <v>1.1250000000000004</v>
      </c>
      <c r="AD53" s="68">
        <f>(E5b!E53-R53-(E5b!D53-Q53))/(E5b!E53-E5b!D53)</f>
        <v>0.39999999999999969</v>
      </c>
      <c r="AE53" s="3">
        <f>(E5b!F53-S53-(E5b!E53-R53))/(E5b!F53-E5b!E53)</f>
        <v>0.52500000000000036</v>
      </c>
      <c r="AF53" s="3">
        <f>(E5b!G53-T53-(E5b!F53-S53))/(E5b!G53-E5b!F53)</f>
        <v>0.55000000000000004</v>
      </c>
      <c r="AG53" s="3">
        <f>(E5b!H53-U53-(E5b!G53-T53))/(E5b!H53-E5b!G53)</f>
        <v>0.6166666666666667</v>
      </c>
      <c r="AH53" s="3">
        <f>(E5b!I53-V53-(E5b!H53-U53))/(E5b!I53-E5b!H53)</f>
        <v>0.75</v>
      </c>
      <c r="AI53" s="3">
        <f>(E5b!J53-W53-(E5b!I53-V53))/(E5b!J53-E5b!I53)</f>
        <v>0.8</v>
      </c>
      <c r="AJ53" s="3">
        <f>(E5b!K53-X53-(E5b!J53-W53))/(E5b!K53-E5b!J53)</f>
        <v>0.80833333333333335</v>
      </c>
      <c r="AK53" s="3">
        <f>(E5b!L53-Y53-(E5b!K53-X53))/(E5b!L53-E5b!K53)</f>
        <v>0.875</v>
      </c>
      <c r="AL53" s="3">
        <f>(E5b!M53-Z53-(E5b!L53-Y53))/(E5b!M53-E5b!L53)</f>
        <v>0.91874999999999996</v>
      </c>
    </row>
    <row r="54" spans="1:38" ht="15.75" customHeight="1" x14ac:dyDescent="0.25">
      <c r="A54" s="21">
        <v>2076</v>
      </c>
      <c r="B54" s="22">
        <f t="shared" si="25"/>
        <v>0</v>
      </c>
      <c r="C54" s="22">
        <f t="shared" si="26"/>
        <v>0</v>
      </c>
      <c r="D54" s="22">
        <f t="shared" si="27"/>
        <v>0.23000000000000004</v>
      </c>
      <c r="E54" s="22">
        <f t="shared" si="28"/>
        <v>0.28000000000000003</v>
      </c>
      <c r="F54" s="22">
        <f t="shared" si="29"/>
        <v>0.36000000000000004</v>
      </c>
      <c r="G54" s="22">
        <f t="shared" si="30"/>
        <v>0.46000000000000008</v>
      </c>
      <c r="H54" s="22">
        <f t="shared" si="31"/>
        <v>0.56000000000000005</v>
      </c>
      <c r="I54" s="22">
        <f t="shared" si="32"/>
        <v>0.66</v>
      </c>
      <c r="J54" s="22">
        <f t="shared" si="33"/>
        <v>0.73</v>
      </c>
      <c r="K54" s="22">
        <f t="shared" si="34"/>
        <v>0.78</v>
      </c>
      <c r="L54" s="22">
        <f t="shared" si="35"/>
        <v>0.83000000000000007</v>
      </c>
      <c r="M54" s="22">
        <f t="shared" si="36"/>
        <v>0.9</v>
      </c>
      <c r="N54" s="22"/>
      <c r="O54" s="71">
        <f>(1-B54)*E5b!B54</f>
        <v>3</v>
      </c>
      <c r="P54" s="71">
        <f>(1-C54)*E5b!C54</f>
        <v>4</v>
      </c>
      <c r="Q54" s="2">
        <f>(1-D54)*E5b!D54</f>
        <v>3.85</v>
      </c>
      <c r="R54" s="2">
        <f>(1-E54)*E5b!E54</f>
        <v>5.04</v>
      </c>
      <c r="S54" s="2">
        <f>(1-F54)*E5b!F54</f>
        <v>6.3999999999999986</v>
      </c>
      <c r="T54">
        <f>(1-G54)*E5b!G54</f>
        <v>10.799999999999999</v>
      </c>
      <c r="U54">
        <f>(1-H54)*E5b!H54</f>
        <v>21.999999999999996</v>
      </c>
      <c r="V54">
        <f>(1-I54)*E5b!I54</f>
        <v>34</v>
      </c>
      <c r="W54">
        <f>(1-J54)*E5b!J54</f>
        <v>54</v>
      </c>
      <c r="X54">
        <f>(1-K54)*E5b!K54</f>
        <v>109.99999999999999</v>
      </c>
      <c r="Y54">
        <f>(1-L54)*E5b!L54</f>
        <v>169.99999999999994</v>
      </c>
      <c r="Z54">
        <f>(1-M54)*E5b!M54</f>
        <v>499.99999999999989</v>
      </c>
      <c r="AA54">
        <v>1</v>
      </c>
      <c r="AB54" s="3">
        <f>(E5b!C54-P54-(E5b!B54-O54))/(E5b!C54-E5b!B54)</f>
        <v>0</v>
      </c>
      <c r="AC54" s="69">
        <f>(E5b!D54-Q54-(E5b!C54-P54))/(E5b!D54-E5b!C54)</f>
        <v>1.1499999999999999</v>
      </c>
      <c r="AD54" s="68">
        <f>(E5b!E54-R54-(E5b!D54-Q54))/(E5b!E54-E5b!D54)</f>
        <v>0.40500000000000003</v>
      </c>
      <c r="AE54" s="3">
        <f>(E5b!F54-S54-(E5b!E54-R54))/(E5b!F54-E5b!E54)</f>
        <v>0.54666666666666719</v>
      </c>
      <c r="AF54" s="3">
        <f>(E5b!G54-T54-(E5b!F54-S54))/(E5b!G54-E5b!F54)</f>
        <v>0.55999999999999994</v>
      </c>
      <c r="AG54" s="3">
        <f>(E5b!H54-U54-(E5b!G54-T54))/(E5b!H54-E5b!G54)</f>
        <v>0.62666666666666682</v>
      </c>
      <c r="AH54" s="3">
        <f>(E5b!I54-V54-(E5b!H54-U54))/(E5b!I54-E5b!H54)</f>
        <v>0.76</v>
      </c>
      <c r="AI54" s="3">
        <f>(E5b!J54-W54-(E5b!I54-V54))/(E5b!J54-E5b!I54)</f>
        <v>0.8</v>
      </c>
      <c r="AJ54" s="3">
        <f>(E5b!K54-X54-(E5b!J54-W54))/(E5b!K54-E5b!J54)</f>
        <v>0.81333333333333335</v>
      </c>
      <c r="AK54" s="3">
        <f>(E5b!L54-Y54-(E5b!K54-X54))/(E5b!L54-E5b!K54)</f>
        <v>0.88</v>
      </c>
      <c r="AL54" s="3">
        <f>(E5b!M54-Z54-(E5b!L54-Y54))/(E5b!M54-E5b!L54)</f>
        <v>0.91749999999999998</v>
      </c>
    </row>
    <row r="55" spans="1:38" ht="15.75" customHeight="1" x14ac:dyDescent="0.25">
      <c r="A55" s="21">
        <v>2077</v>
      </c>
      <c r="B55" s="22">
        <f t="shared" si="25"/>
        <v>0</v>
      </c>
      <c r="C55" s="22">
        <f t="shared" si="26"/>
        <v>0</v>
      </c>
      <c r="D55" s="22">
        <f t="shared" si="27"/>
        <v>0.23500000000000004</v>
      </c>
      <c r="E55" s="22">
        <f t="shared" si="28"/>
        <v>0.28500000000000003</v>
      </c>
      <c r="F55" s="22">
        <f t="shared" si="29"/>
        <v>0.37000000000000005</v>
      </c>
      <c r="G55" s="22">
        <f t="shared" si="30"/>
        <v>0.47000000000000008</v>
      </c>
      <c r="H55" s="22">
        <f t="shared" si="31"/>
        <v>0.57000000000000006</v>
      </c>
      <c r="I55" s="22">
        <f t="shared" si="32"/>
        <v>0.67</v>
      </c>
      <c r="J55" s="22">
        <f t="shared" si="33"/>
        <v>0.73499999999999999</v>
      </c>
      <c r="K55" s="22">
        <f t="shared" si="34"/>
        <v>0.78500000000000003</v>
      </c>
      <c r="L55" s="22">
        <f t="shared" si="35"/>
        <v>0.83500000000000008</v>
      </c>
      <c r="M55" s="22">
        <f t="shared" si="36"/>
        <v>0.9</v>
      </c>
      <c r="N55" s="22"/>
      <c r="O55" s="71">
        <f>(1-B55)*E5b!B55</f>
        <v>3</v>
      </c>
      <c r="P55" s="71">
        <f>(1-C55)*E5b!C55</f>
        <v>4</v>
      </c>
      <c r="Q55" s="2">
        <f>(1-D55)*E5b!D55</f>
        <v>3.8249999999999993</v>
      </c>
      <c r="R55" s="2">
        <f>(1-E55)*E5b!E55</f>
        <v>5.0049999999999999</v>
      </c>
      <c r="S55" s="2">
        <f>(1-F55)*E5b!F55</f>
        <v>6.2999999999999989</v>
      </c>
      <c r="T55">
        <f>(1-G55)*E5b!G55</f>
        <v>10.599999999999998</v>
      </c>
      <c r="U55">
        <f>(1-H55)*E5b!H55</f>
        <v>21.499999999999996</v>
      </c>
      <c r="V55">
        <f>(1-I55)*E5b!I55</f>
        <v>32.999999999999993</v>
      </c>
      <c r="W55">
        <f>(1-J55)*E5b!J55</f>
        <v>53</v>
      </c>
      <c r="X55">
        <f>(1-K55)*E5b!K55</f>
        <v>107.49999999999999</v>
      </c>
      <c r="Y55">
        <f>(1-L55)*E5b!L55</f>
        <v>164.99999999999991</v>
      </c>
      <c r="Z55">
        <f>(1-M55)*E5b!M55</f>
        <v>499.99999999999989</v>
      </c>
      <c r="AA55">
        <v>2</v>
      </c>
      <c r="AB55" s="3">
        <f>(E5b!C55-P55-(E5b!B55-O55))/(E5b!C55-E5b!B55)</f>
        <v>0</v>
      </c>
      <c r="AC55" s="69">
        <f>(E5b!D55-Q55-(E5b!C55-P55))/(E5b!D55-E5b!C55)</f>
        <v>1.1750000000000007</v>
      </c>
      <c r="AD55" s="68">
        <f>(E5b!E55-R55-(E5b!D55-Q55))/(E5b!E55-E5b!D55)</f>
        <v>0.4099999999999997</v>
      </c>
      <c r="AE55" s="68">
        <f>(E5b!F55-S55-(E5b!E55-R55))/(E5b!F55-E5b!E55)</f>
        <v>0.56833333333333369</v>
      </c>
      <c r="AF55" s="68">
        <f>(E5b!G55-T55-(E5b!F55-S55))/(E5b!G55-E5b!F55)</f>
        <v>0.57000000000000006</v>
      </c>
      <c r="AG55" s="3">
        <f>(E5b!H55-U55-(E5b!G55-T55))/(E5b!H55-E5b!G55)</f>
        <v>0.63666666666666671</v>
      </c>
      <c r="AH55" s="3">
        <f>(E5b!I55-V55-(E5b!H55-U55))/(E5b!I55-E5b!H55)</f>
        <v>0.77</v>
      </c>
      <c r="AI55" s="3">
        <f>(E5b!J55-W55-(E5b!I55-V55))/(E5b!J55-E5b!I55)</f>
        <v>0.8</v>
      </c>
      <c r="AJ55" s="3">
        <f>(E5b!K55-X55-(E5b!J55-W55))/(E5b!K55-E5b!J55)</f>
        <v>0.81833333333333336</v>
      </c>
      <c r="AK55" s="3">
        <f>(E5b!L55-Y55-(E5b!K55-X55))/(E5b!L55-E5b!K55)</f>
        <v>0.88500000000000023</v>
      </c>
      <c r="AL55" s="3">
        <f>(E5b!M55-Z55-(E5b!L55-Y55))/(E5b!M55-E5b!L55)</f>
        <v>0.91625000000000001</v>
      </c>
    </row>
    <row r="56" spans="1:38" ht="15.75" customHeight="1" x14ac:dyDescent="0.25">
      <c r="A56" s="21">
        <v>2078</v>
      </c>
      <c r="B56" s="22">
        <f t="shared" si="25"/>
        <v>0</v>
      </c>
      <c r="C56" s="22">
        <f t="shared" si="26"/>
        <v>0</v>
      </c>
      <c r="D56" s="22">
        <f t="shared" si="27"/>
        <v>0.24000000000000005</v>
      </c>
      <c r="E56" s="22">
        <f t="shared" si="28"/>
        <v>0.29000000000000004</v>
      </c>
      <c r="F56" s="22">
        <f t="shared" si="29"/>
        <v>0.38000000000000006</v>
      </c>
      <c r="G56" s="22">
        <f t="shared" si="30"/>
        <v>0.48000000000000009</v>
      </c>
      <c r="H56" s="22">
        <f t="shared" si="31"/>
        <v>0.58000000000000007</v>
      </c>
      <c r="I56" s="22">
        <f t="shared" si="32"/>
        <v>0.68</v>
      </c>
      <c r="J56" s="22">
        <f t="shared" si="33"/>
        <v>0.74</v>
      </c>
      <c r="K56" s="22">
        <f t="shared" si="34"/>
        <v>0.79</v>
      </c>
      <c r="L56" s="22">
        <f t="shared" si="35"/>
        <v>0.84000000000000008</v>
      </c>
      <c r="M56" s="22">
        <f t="shared" si="36"/>
        <v>0.9</v>
      </c>
      <c r="N56" s="22"/>
      <c r="O56">
        <f>(1-B56)*E5b!B56</f>
        <v>3</v>
      </c>
      <c r="P56">
        <f>(1-C56)*E5b!C56</f>
        <v>4</v>
      </c>
      <c r="Q56">
        <f>(1-D56)*E5b!D56</f>
        <v>3.8</v>
      </c>
      <c r="R56">
        <f>(1-E56)*E5b!E56</f>
        <v>4.97</v>
      </c>
      <c r="S56">
        <f>(1-F56)*E5b!F56</f>
        <v>6.1999999999999993</v>
      </c>
      <c r="T56">
        <f>(1-G56)*E5b!G56</f>
        <v>10.399999999999999</v>
      </c>
      <c r="U56">
        <f>(1-H56)*E5b!H56</f>
        <v>20.999999999999996</v>
      </c>
      <c r="V56">
        <f>(1-I56)*E5b!I56</f>
        <v>31.999999999999996</v>
      </c>
      <c r="W56">
        <f>(1-J56)*E5b!J56</f>
        <v>52</v>
      </c>
      <c r="X56">
        <f>(1-K56)*E5b!K56</f>
        <v>104.99999999999999</v>
      </c>
      <c r="Y56">
        <f>(1-L56)*E5b!L56</f>
        <v>159.99999999999991</v>
      </c>
      <c r="Z56">
        <f>(1-M56)*E5b!M56</f>
        <v>499.99999999999989</v>
      </c>
      <c r="AA56">
        <v>2</v>
      </c>
      <c r="AB56" s="3">
        <f>(E5b!C56-P56-(E5b!B56-O56))/(E5b!C56-E5b!B56)</f>
        <v>0</v>
      </c>
      <c r="AC56" s="69">
        <f>(E5b!D56-Q56-(E5b!C56-P56))/(E5b!D56-E5b!C56)</f>
        <v>1.2000000000000002</v>
      </c>
      <c r="AD56" s="68">
        <f>(E5b!E56-R56-(E5b!D56-Q56))/(E5b!E56-E5b!D56)</f>
        <v>0.41500000000000004</v>
      </c>
      <c r="AE56" s="68">
        <f>(E5b!F56-S56-(E5b!E56-R56))/(E5b!F56-E5b!E56)</f>
        <v>0.59000000000000019</v>
      </c>
      <c r="AF56" s="68">
        <f>(E5b!G56-T56-(E5b!F56-S56))/(E5b!G56-E5b!F56)</f>
        <v>0.58000000000000007</v>
      </c>
      <c r="AG56" s="3">
        <f>(E5b!H56-U56-(E5b!G56-T56))/(E5b!H56-E5b!G56)</f>
        <v>0.64666666666666672</v>
      </c>
      <c r="AH56" s="3">
        <f>(E5b!I56-V56-(E5b!H56-U56))/(E5b!I56-E5b!H56)</f>
        <v>0.78</v>
      </c>
      <c r="AI56" s="3">
        <f>(E5b!J56-W56-(E5b!I56-V56))/(E5b!J56-E5b!I56)</f>
        <v>0.8</v>
      </c>
      <c r="AJ56" s="3">
        <f>(E5b!K56-X56-(E5b!J56-W56))/(E5b!K56-E5b!J56)</f>
        <v>0.82333333333333336</v>
      </c>
      <c r="AK56" s="3">
        <f>(E5b!L56-Y56-(E5b!K56-X56))/(E5b!L56-E5b!K56)</f>
        <v>0.89000000000000024</v>
      </c>
      <c r="AL56" s="3">
        <f>(E5b!M56-Z56-(E5b!L56-Y56))/(E5b!M56-E5b!L56)</f>
        <v>0.91500000000000004</v>
      </c>
    </row>
    <row r="57" spans="1:38" ht="15.75" customHeight="1" x14ac:dyDescent="0.25">
      <c r="A57" s="21">
        <v>2079</v>
      </c>
      <c r="B57" s="22">
        <f t="shared" si="25"/>
        <v>0</v>
      </c>
      <c r="C57" s="22">
        <f t="shared" si="26"/>
        <v>0</v>
      </c>
      <c r="D57" s="22">
        <f t="shared" si="27"/>
        <v>0.24500000000000005</v>
      </c>
      <c r="E57" s="22">
        <f t="shared" si="28"/>
        <v>0.29500000000000004</v>
      </c>
      <c r="F57" s="22">
        <f t="shared" si="29"/>
        <v>0.39000000000000007</v>
      </c>
      <c r="G57" s="22">
        <f t="shared" si="30"/>
        <v>0.4900000000000001</v>
      </c>
      <c r="H57" s="22">
        <f t="shared" si="31"/>
        <v>0.59000000000000008</v>
      </c>
      <c r="I57" s="22">
        <f t="shared" si="32"/>
        <v>0.69000000000000006</v>
      </c>
      <c r="J57" s="22">
        <f t="shared" si="33"/>
        <v>0.745</v>
      </c>
      <c r="K57" s="22">
        <f t="shared" si="34"/>
        <v>0.79500000000000004</v>
      </c>
      <c r="L57" s="22">
        <f t="shared" si="35"/>
        <v>0.84500000000000008</v>
      </c>
      <c r="M57" s="22">
        <f t="shared" si="36"/>
        <v>0.9</v>
      </c>
      <c r="N57" s="22"/>
      <c r="O57">
        <f>(1-B57)*E5b!B57</f>
        <v>3</v>
      </c>
      <c r="P57">
        <f>(1-C57)*E5b!C57</f>
        <v>4</v>
      </c>
      <c r="Q57">
        <f>(1-D57)*E5b!D57</f>
        <v>3.7749999999999995</v>
      </c>
      <c r="R57">
        <f>(1-E57)*E5b!E57</f>
        <v>4.9349999999999996</v>
      </c>
      <c r="S57">
        <f>(1-F57)*E5b!F57</f>
        <v>6.0999999999999988</v>
      </c>
      <c r="T57">
        <f>(1-G57)*E5b!G57</f>
        <v>10.199999999999998</v>
      </c>
      <c r="U57">
        <f>(1-H57)*E5b!H57</f>
        <v>20.499999999999996</v>
      </c>
      <c r="V57">
        <f>(1-I57)*E5b!I57</f>
        <v>30.999999999999993</v>
      </c>
      <c r="W57">
        <f>(1-J57)*E5b!J57</f>
        <v>51</v>
      </c>
      <c r="X57">
        <f>(1-K57)*E5b!K57</f>
        <v>102.49999999999999</v>
      </c>
      <c r="Y57">
        <f>(1-L57)*E5b!L57</f>
        <v>154.99999999999991</v>
      </c>
      <c r="Z57">
        <f>(1-M57)*E5b!M57</f>
        <v>499.99999999999989</v>
      </c>
      <c r="AA57">
        <v>2</v>
      </c>
      <c r="AB57" s="3">
        <f>(E5b!C57-P57-(E5b!B57-O57))/(E5b!C57-E5b!B57)</f>
        <v>0</v>
      </c>
      <c r="AC57" s="69">
        <f>(E5b!D57-Q57-(E5b!C57-P57))/(E5b!D57-E5b!C57)</f>
        <v>1.2250000000000005</v>
      </c>
      <c r="AD57" s="68">
        <f>(E5b!E57-R57-(E5b!D57-Q57))/(E5b!E57-E5b!D57)</f>
        <v>0.41999999999999993</v>
      </c>
      <c r="AE57" s="68">
        <f>(E5b!F57-S57-(E5b!E57-R57))/(E5b!F57-E5b!E57)</f>
        <v>0.61166666666666691</v>
      </c>
      <c r="AF57" s="68">
        <f>(E5b!G57-T57-(E5b!F57-S57))/(E5b!G57-E5b!F57)</f>
        <v>0.59000000000000008</v>
      </c>
      <c r="AG57" s="3">
        <f>(E5b!H57-U57-(E5b!G57-T57))/(E5b!H57-E5b!G57)</f>
        <v>0.65666666666666673</v>
      </c>
      <c r="AH57" s="3">
        <f>(E5b!I57-V57-(E5b!H57-U57))/(E5b!I57-E5b!H57)</f>
        <v>0.79</v>
      </c>
      <c r="AI57" s="3">
        <f>(E5b!J57-W57-(E5b!I57-V57))/(E5b!J57-E5b!I57)</f>
        <v>0.8</v>
      </c>
      <c r="AJ57" s="3">
        <f>(E5b!K57-X57-(E5b!J57-W57))/(E5b!K57-E5b!J57)</f>
        <v>0.82833333333333337</v>
      </c>
      <c r="AK57" s="3">
        <f>(E5b!L57-Y57-(E5b!K57-X57))/(E5b!L57-E5b!K57)</f>
        <v>0.89500000000000024</v>
      </c>
      <c r="AL57" s="3">
        <f>(E5b!M57-Z57-(E5b!L57-Y57))/(E5b!M57-E5b!L57)</f>
        <v>0.91374999999999995</v>
      </c>
    </row>
    <row r="58" spans="1:38" ht="15.75" customHeight="1" x14ac:dyDescent="0.25">
      <c r="A58" s="21">
        <v>2080</v>
      </c>
      <c r="B58" s="30">
        <v>0</v>
      </c>
      <c r="C58" s="30">
        <v>0</v>
      </c>
      <c r="D58" s="30">
        <v>0.25</v>
      </c>
      <c r="E58" s="30">
        <v>0.3</v>
      </c>
      <c r="F58" s="30">
        <v>0.4</v>
      </c>
      <c r="G58" s="30">
        <v>0.5</v>
      </c>
      <c r="H58" s="30">
        <v>0.6</v>
      </c>
      <c r="I58" s="30">
        <v>0.7</v>
      </c>
      <c r="J58" s="30">
        <v>0.75</v>
      </c>
      <c r="K58" s="30">
        <v>0.8</v>
      </c>
      <c r="L58" s="30">
        <v>0.85</v>
      </c>
      <c r="M58" s="30">
        <v>0.9</v>
      </c>
      <c r="N58" s="30"/>
      <c r="O58">
        <f>(1-B58)*E5b!B58</f>
        <v>3</v>
      </c>
      <c r="P58">
        <f>(1-C58)*E5b!C58</f>
        <v>4</v>
      </c>
      <c r="Q58">
        <f>(1-D58)*E5b!D58</f>
        <v>3.75</v>
      </c>
      <c r="R58">
        <f>(1-E58)*E5b!E58</f>
        <v>4.8999999999999995</v>
      </c>
      <c r="S58">
        <f>(1-F58)*E5b!F58</f>
        <v>6</v>
      </c>
      <c r="T58">
        <f>(1-G58)*E5b!G58</f>
        <v>10</v>
      </c>
      <c r="U58">
        <f>(1-H58)*E5b!H58</f>
        <v>20</v>
      </c>
      <c r="V58">
        <f>(1-I58)*E5b!I58</f>
        <v>30.000000000000004</v>
      </c>
      <c r="W58">
        <f>(1-J58)*E5b!J58</f>
        <v>50</v>
      </c>
      <c r="X58">
        <f>(1-K58)*E5b!K58</f>
        <v>99.999999999999972</v>
      </c>
      <c r="Y58">
        <f>(1-L58)*E5b!L58</f>
        <v>150.00000000000003</v>
      </c>
      <c r="Z58">
        <f>(1-M58)*E5b!M58</f>
        <v>499.99999999999989</v>
      </c>
      <c r="AA58">
        <v>2</v>
      </c>
      <c r="AB58" s="3">
        <f>(E5b!C58-P58-(E5b!B58-O58))/(E5b!C58-E5b!B58)</f>
        <v>0</v>
      </c>
      <c r="AC58" s="69">
        <f>(E5b!D58-Q58-(E5b!C58-P58))/(E5b!D58-E5b!C58)</f>
        <v>1.25</v>
      </c>
      <c r="AD58" s="68">
        <f>(E5b!E58-R58-(E5b!D58-Q58))/(E5b!E58-E5b!D58)</f>
        <v>0.42500000000000027</v>
      </c>
      <c r="AE58" s="68">
        <f>(E5b!F58-S58-(E5b!E58-R58))/(E5b!F58-E5b!E58)</f>
        <v>0.63333333333333319</v>
      </c>
      <c r="AF58" s="68">
        <f>(E5b!G58-T58-(E5b!F58-S58))/(E5b!G58-E5b!F58)</f>
        <v>0.6</v>
      </c>
      <c r="AG58" s="3">
        <f>(E5b!H58-U58-(E5b!G58-T58))/(E5b!H58-E5b!G58)</f>
        <v>0.66666666666666663</v>
      </c>
      <c r="AH58" s="3">
        <f>(E5b!I58-V58-(E5b!H58-U58))/(E5b!I58-E5b!H58)</f>
        <v>0.8</v>
      </c>
      <c r="AI58" s="3">
        <f>(E5b!J58-W58-(E5b!I58-V58))/(E5b!J58-E5b!I58)</f>
        <v>0.8</v>
      </c>
      <c r="AJ58" s="3">
        <f>(E5b!K58-X58-(E5b!J58-W58))/(E5b!K58-E5b!J58)</f>
        <v>0.83333333333333337</v>
      </c>
      <c r="AK58" s="3">
        <f>(E5b!L58-Y58-(E5b!K58-X58))/(E5b!L58-E5b!K58)</f>
        <v>0.9</v>
      </c>
      <c r="AL58" s="3">
        <f>(E5b!M58-Z58-(E5b!L58-Y58))/(E5b!M58-E5b!L58)</f>
        <v>0.91249999999999998</v>
      </c>
    </row>
    <row r="59" spans="1:38" ht="15.75" customHeight="1" x14ac:dyDescent="0.25">
      <c r="A59" s="21">
        <v>2081</v>
      </c>
      <c r="B59" s="22">
        <f t="shared" ref="B59:B77" si="37">B58+(B$78-B$58)/20</f>
        <v>0</v>
      </c>
      <c r="C59" s="22">
        <f t="shared" ref="C59:C77" si="38">C58+(C$78-C$58)/20</f>
        <v>0</v>
      </c>
      <c r="D59" s="22">
        <f t="shared" ref="D59:D77" si="39">D58+(D$78-D$58)/20</f>
        <v>0.25</v>
      </c>
      <c r="E59" s="22">
        <f t="shared" ref="E59:E77" si="40">E58+(E$78-E$58)/20</f>
        <v>0.3</v>
      </c>
      <c r="F59" s="22">
        <f t="shared" ref="F59:F77" si="41">F58+(F$78-F$58)/20</f>
        <v>0.4</v>
      </c>
      <c r="G59" s="22">
        <f t="shared" ref="G59:G77" si="42">G58+(G$78-G$58)/20</f>
        <v>0.5</v>
      </c>
      <c r="H59" s="22">
        <f t="shared" ref="H59:H77" si="43">H58+(H$78-H$58)/20</f>
        <v>0.6</v>
      </c>
      <c r="I59" s="22">
        <f t="shared" ref="I59:I77" si="44">I58+(I$78-I$58)/20</f>
        <v>0.7</v>
      </c>
      <c r="J59" s="22">
        <f t="shared" ref="J59:J77" si="45">J58+(J$78-J$58)/20</f>
        <v>0.75</v>
      </c>
      <c r="K59" s="22">
        <f t="shared" ref="K59:K77" si="46">K58+(K$78-K$58)/20</f>
        <v>0.8</v>
      </c>
      <c r="L59" s="22">
        <f t="shared" ref="L59:L77" si="47">L58+(L$78-L$58)/20</f>
        <v>0.85</v>
      </c>
      <c r="M59" s="22">
        <f t="shared" ref="M59:M77" si="48">M58+(M$78-M$58)/20</f>
        <v>0.9</v>
      </c>
      <c r="N59" s="22"/>
      <c r="O59">
        <f>(1-B59)*E5b!B59</f>
        <v>3</v>
      </c>
      <c r="P59">
        <f>(1-C59)*E5b!C59</f>
        <v>4</v>
      </c>
      <c r="Q59">
        <f>(1-D59)*E5b!D59</f>
        <v>3.75</v>
      </c>
      <c r="R59">
        <f>(1-E59)*E5b!E59</f>
        <v>4.8999999999999995</v>
      </c>
      <c r="S59">
        <f>(1-F59)*E5b!F59</f>
        <v>6</v>
      </c>
      <c r="T59">
        <f>(1-G59)*E5b!G59</f>
        <v>10</v>
      </c>
      <c r="U59">
        <f>(1-H59)*E5b!H59</f>
        <v>20</v>
      </c>
      <c r="V59">
        <f>(1-I59)*E5b!I59</f>
        <v>30.000000000000004</v>
      </c>
      <c r="W59">
        <f>(1-J59)*E5b!J59</f>
        <v>50</v>
      </c>
      <c r="X59">
        <f>(1-K59)*E5b!K59</f>
        <v>99.999999999999972</v>
      </c>
      <c r="Y59">
        <f>(1-L59)*E5b!L59</f>
        <v>150.00000000000003</v>
      </c>
      <c r="Z59">
        <f>(1-M59)*E5b!M59</f>
        <v>499.99999999999989</v>
      </c>
      <c r="AA59">
        <v>2</v>
      </c>
      <c r="AB59" s="3">
        <f>(E5b!C59-P59-(E5b!B59-O59))/(E5b!C59-E5b!B59)</f>
        <v>0</v>
      </c>
      <c r="AC59" s="69">
        <f>(E5b!D59-Q59-(E5b!C59-P59))/(E5b!D59-E5b!C59)</f>
        <v>1.25</v>
      </c>
      <c r="AD59" s="68">
        <f>(E5b!E59-R59-(E5b!D59-Q59))/(E5b!E59-E5b!D59)</f>
        <v>0.42500000000000027</v>
      </c>
      <c r="AE59" s="68">
        <f>(E5b!F59-S59-(E5b!E59-R59))/(E5b!F59-E5b!E59)</f>
        <v>0.63333333333333319</v>
      </c>
      <c r="AF59" s="68">
        <f>(E5b!G59-T59-(E5b!F59-S59))/(E5b!G59-E5b!F59)</f>
        <v>0.6</v>
      </c>
      <c r="AG59" s="3">
        <f>(E5b!H59-U59-(E5b!G59-T59))/(E5b!H59-E5b!G59)</f>
        <v>0.66666666666666663</v>
      </c>
      <c r="AH59" s="3">
        <f>(E5b!I59-V59-(E5b!H59-U59))/(E5b!I59-E5b!H59)</f>
        <v>0.8</v>
      </c>
      <c r="AI59" s="3">
        <f>(E5b!J59-W59-(E5b!I59-V59))/(E5b!J59-E5b!I59)</f>
        <v>0.8</v>
      </c>
      <c r="AJ59" s="3">
        <f>(E5b!K59-X59-(E5b!J59-W59))/(E5b!K59-E5b!J59)</f>
        <v>0.83333333333333337</v>
      </c>
      <c r="AK59" s="3">
        <f>(E5b!L59-Y59-(E5b!K59-X59))/(E5b!L59-E5b!K59)</f>
        <v>0.9</v>
      </c>
      <c r="AL59" s="3">
        <f>(E5b!M59-Z59-(E5b!L59-Y59))/(E5b!M59-E5b!L59)</f>
        <v>0.91249999999999998</v>
      </c>
    </row>
    <row r="60" spans="1:38" ht="15.75" customHeight="1" x14ac:dyDescent="0.25">
      <c r="A60" s="21">
        <v>2082</v>
      </c>
      <c r="B60" s="22">
        <f t="shared" si="37"/>
        <v>0</v>
      </c>
      <c r="C60" s="22">
        <f t="shared" si="38"/>
        <v>0</v>
      </c>
      <c r="D60" s="22">
        <f t="shared" si="39"/>
        <v>0.25</v>
      </c>
      <c r="E60" s="22">
        <f t="shared" si="40"/>
        <v>0.3</v>
      </c>
      <c r="F60" s="22">
        <f t="shared" si="41"/>
        <v>0.4</v>
      </c>
      <c r="G60" s="22">
        <f t="shared" si="42"/>
        <v>0.5</v>
      </c>
      <c r="H60" s="22">
        <f t="shared" si="43"/>
        <v>0.6</v>
      </c>
      <c r="I60" s="22">
        <f t="shared" si="44"/>
        <v>0.7</v>
      </c>
      <c r="J60" s="22">
        <f t="shared" si="45"/>
        <v>0.75</v>
      </c>
      <c r="K60" s="22">
        <f t="shared" si="46"/>
        <v>0.8</v>
      </c>
      <c r="L60" s="22">
        <f t="shared" si="47"/>
        <v>0.85</v>
      </c>
      <c r="M60" s="22">
        <f t="shared" si="48"/>
        <v>0.9</v>
      </c>
      <c r="N60" s="22"/>
      <c r="O60">
        <f>(1-B60)*E5b!B60</f>
        <v>3</v>
      </c>
      <c r="P60">
        <f>(1-C60)*E5b!C60</f>
        <v>4</v>
      </c>
      <c r="Q60">
        <f>(1-D60)*E5b!D60</f>
        <v>3.75</v>
      </c>
      <c r="R60">
        <f>(1-E60)*E5b!E60</f>
        <v>4.8999999999999995</v>
      </c>
      <c r="S60">
        <f>(1-F60)*E5b!F60</f>
        <v>6</v>
      </c>
      <c r="T60">
        <f>(1-G60)*E5b!G60</f>
        <v>10</v>
      </c>
      <c r="U60">
        <f>(1-H60)*E5b!H60</f>
        <v>20</v>
      </c>
      <c r="V60">
        <f>(1-I60)*E5b!I60</f>
        <v>30.000000000000004</v>
      </c>
      <c r="W60">
        <f>(1-J60)*E5b!J60</f>
        <v>50</v>
      </c>
      <c r="X60">
        <f>(1-K60)*E5b!K60</f>
        <v>99.999999999999972</v>
      </c>
      <c r="Y60">
        <f>(1-L60)*E5b!L60</f>
        <v>150.00000000000003</v>
      </c>
      <c r="Z60">
        <f>(1-M60)*E5b!M60</f>
        <v>499.99999999999989</v>
      </c>
      <c r="AA60">
        <v>2</v>
      </c>
      <c r="AB60" s="3">
        <f>(E5b!C60-P60-(E5b!B60-O60))/(E5b!C60-E5b!B60)</f>
        <v>0</v>
      </c>
      <c r="AC60" s="69">
        <f>(E5b!D60-Q60-(E5b!C60-P60))/(E5b!D60-E5b!C60)</f>
        <v>1.25</v>
      </c>
      <c r="AD60" s="68">
        <f>(E5b!E60-R60-(E5b!D60-Q60))/(E5b!E60-E5b!D60)</f>
        <v>0.42500000000000027</v>
      </c>
      <c r="AE60" s="68">
        <f>(E5b!F60-S60-(E5b!E60-R60))/(E5b!F60-E5b!E60)</f>
        <v>0.63333333333333319</v>
      </c>
      <c r="AF60" s="68">
        <f>(E5b!G60-T60-(E5b!F60-S60))/(E5b!G60-E5b!F60)</f>
        <v>0.6</v>
      </c>
      <c r="AG60" s="3">
        <f>(E5b!H60-U60-(E5b!G60-T60))/(E5b!H60-E5b!G60)</f>
        <v>0.66666666666666663</v>
      </c>
      <c r="AH60" s="3">
        <f>(E5b!I60-V60-(E5b!H60-U60))/(E5b!I60-E5b!H60)</f>
        <v>0.8</v>
      </c>
      <c r="AI60" s="3">
        <f>(E5b!J60-W60-(E5b!I60-V60))/(E5b!J60-E5b!I60)</f>
        <v>0.8</v>
      </c>
      <c r="AJ60" s="3">
        <f>(E5b!K60-X60-(E5b!J60-W60))/(E5b!K60-E5b!J60)</f>
        <v>0.83333333333333337</v>
      </c>
      <c r="AK60" s="3">
        <f>(E5b!L60-Y60-(E5b!K60-X60))/(E5b!L60-E5b!K60)</f>
        <v>0.9</v>
      </c>
      <c r="AL60" s="3">
        <f>(E5b!M60-Z60-(E5b!L60-Y60))/(E5b!M60-E5b!L60)</f>
        <v>0.91249999999999998</v>
      </c>
    </row>
    <row r="61" spans="1:38" ht="15.75" customHeight="1" x14ac:dyDescent="0.25">
      <c r="A61" s="21">
        <v>2083</v>
      </c>
      <c r="B61" s="22">
        <f t="shared" si="37"/>
        <v>0</v>
      </c>
      <c r="C61" s="22">
        <f t="shared" si="38"/>
        <v>0</v>
      </c>
      <c r="D61" s="22">
        <f t="shared" si="39"/>
        <v>0.25</v>
      </c>
      <c r="E61" s="22">
        <f t="shared" si="40"/>
        <v>0.3</v>
      </c>
      <c r="F61" s="22">
        <f t="shared" si="41"/>
        <v>0.4</v>
      </c>
      <c r="G61" s="22">
        <f t="shared" si="42"/>
        <v>0.5</v>
      </c>
      <c r="H61" s="22">
        <f t="shared" si="43"/>
        <v>0.6</v>
      </c>
      <c r="I61" s="22">
        <f t="shared" si="44"/>
        <v>0.7</v>
      </c>
      <c r="J61" s="22">
        <f t="shared" si="45"/>
        <v>0.75</v>
      </c>
      <c r="K61" s="22">
        <f t="shared" si="46"/>
        <v>0.8</v>
      </c>
      <c r="L61" s="22">
        <f t="shared" si="47"/>
        <v>0.85</v>
      </c>
      <c r="M61" s="22">
        <f t="shared" si="48"/>
        <v>0.9</v>
      </c>
      <c r="N61" s="22"/>
      <c r="O61">
        <f>(1-B61)*E5b!B61</f>
        <v>3</v>
      </c>
      <c r="P61">
        <f>(1-C61)*E5b!C61</f>
        <v>4</v>
      </c>
      <c r="Q61">
        <f>(1-D61)*E5b!D61</f>
        <v>3.75</v>
      </c>
      <c r="R61">
        <f>(1-E61)*E5b!E61</f>
        <v>4.8999999999999995</v>
      </c>
      <c r="S61">
        <f>(1-F61)*E5b!F61</f>
        <v>6</v>
      </c>
      <c r="T61">
        <f>(1-G61)*E5b!G61</f>
        <v>10</v>
      </c>
      <c r="U61">
        <f>(1-H61)*E5b!H61</f>
        <v>20</v>
      </c>
      <c r="V61">
        <f>(1-I61)*E5b!I61</f>
        <v>30.000000000000004</v>
      </c>
      <c r="W61">
        <f>(1-J61)*E5b!J61</f>
        <v>50</v>
      </c>
      <c r="X61">
        <f>(1-K61)*E5b!K61</f>
        <v>99.999999999999972</v>
      </c>
      <c r="Y61">
        <f>(1-L61)*E5b!L61</f>
        <v>150.00000000000003</v>
      </c>
      <c r="Z61">
        <f>(1-M61)*E5b!M61</f>
        <v>499.99999999999989</v>
      </c>
      <c r="AA61">
        <v>2</v>
      </c>
      <c r="AB61" s="3">
        <f>(E5b!C61-P61-(E5b!B61-O61))/(E5b!C61-E5b!B61)</f>
        <v>0</v>
      </c>
      <c r="AC61" s="69">
        <f>(E5b!D61-Q61-(E5b!C61-P61))/(E5b!D61-E5b!C61)</f>
        <v>1.25</v>
      </c>
      <c r="AD61" s="68">
        <f>(E5b!E61-R61-(E5b!D61-Q61))/(E5b!E61-E5b!D61)</f>
        <v>0.42500000000000027</v>
      </c>
      <c r="AE61" s="68">
        <f>(E5b!F61-S61-(E5b!E61-R61))/(E5b!F61-E5b!E61)</f>
        <v>0.63333333333333319</v>
      </c>
      <c r="AF61" s="68">
        <f>(E5b!G61-T61-(E5b!F61-S61))/(E5b!G61-E5b!F61)</f>
        <v>0.6</v>
      </c>
      <c r="AG61" s="3">
        <f>(E5b!H61-U61-(E5b!G61-T61))/(E5b!H61-E5b!G61)</f>
        <v>0.66666666666666663</v>
      </c>
      <c r="AH61" s="3">
        <f>(E5b!I61-V61-(E5b!H61-U61))/(E5b!I61-E5b!H61)</f>
        <v>0.8</v>
      </c>
      <c r="AI61" s="3">
        <f>(E5b!J61-W61-(E5b!I61-V61))/(E5b!J61-E5b!I61)</f>
        <v>0.8</v>
      </c>
      <c r="AJ61" s="3">
        <f>(E5b!K61-X61-(E5b!J61-W61))/(E5b!K61-E5b!J61)</f>
        <v>0.83333333333333337</v>
      </c>
      <c r="AK61" s="3">
        <f>(E5b!L61-Y61-(E5b!K61-X61))/(E5b!L61-E5b!K61)</f>
        <v>0.9</v>
      </c>
      <c r="AL61" s="3">
        <f>(E5b!M61-Z61-(E5b!L61-Y61))/(E5b!M61-E5b!L61)</f>
        <v>0.91249999999999998</v>
      </c>
    </row>
    <row r="62" spans="1:38" ht="15.75" customHeight="1" x14ac:dyDescent="0.25">
      <c r="A62" s="21">
        <v>2084</v>
      </c>
      <c r="B62" s="22">
        <f t="shared" si="37"/>
        <v>0</v>
      </c>
      <c r="C62" s="22">
        <f t="shared" si="38"/>
        <v>0</v>
      </c>
      <c r="D62" s="22">
        <f t="shared" si="39"/>
        <v>0.25</v>
      </c>
      <c r="E62" s="22">
        <f t="shared" si="40"/>
        <v>0.3</v>
      </c>
      <c r="F62" s="22">
        <f t="shared" si="41"/>
        <v>0.4</v>
      </c>
      <c r="G62" s="22">
        <f t="shared" si="42"/>
        <v>0.5</v>
      </c>
      <c r="H62" s="22">
        <f t="shared" si="43"/>
        <v>0.6</v>
      </c>
      <c r="I62" s="22">
        <f t="shared" si="44"/>
        <v>0.7</v>
      </c>
      <c r="J62" s="22">
        <f t="shared" si="45"/>
        <v>0.75</v>
      </c>
      <c r="K62" s="22">
        <f t="shared" si="46"/>
        <v>0.8</v>
      </c>
      <c r="L62" s="22">
        <f t="shared" si="47"/>
        <v>0.85</v>
      </c>
      <c r="M62" s="22">
        <f t="shared" si="48"/>
        <v>0.9</v>
      </c>
      <c r="N62" s="22"/>
      <c r="O62">
        <f>(1-B62)*E5b!B62</f>
        <v>3</v>
      </c>
      <c r="P62">
        <f>(1-C62)*E5b!C62</f>
        <v>4</v>
      </c>
      <c r="Q62">
        <f>(1-D62)*E5b!D62</f>
        <v>3.75</v>
      </c>
      <c r="R62">
        <f>(1-E62)*E5b!E62</f>
        <v>4.8999999999999995</v>
      </c>
      <c r="S62">
        <f>(1-F62)*E5b!F62</f>
        <v>6</v>
      </c>
      <c r="T62">
        <f>(1-G62)*E5b!G62</f>
        <v>10</v>
      </c>
      <c r="U62">
        <f>(1-H62)*E5b!H62</f>
        <v>20</v>
      </c>
      <c r="V62">
        <f>(1-I62)*E5b!I62</f>
        <v>30.000000000000004</v>
      </c>
      <c r="W62">
        <f>(1-J62)*E5b!J62</f>
        <v>50</v>
      </c>
      <c r="X62">
        <f>(1-K62)*E5b!K62</f>
        <v>99.999999999999972</v>
      </c>
      <c r="Y62">
        <f>(1-L62)*E5b!L62</f>
        <v>150.00000000000003</v>
      </c>
      <c r="Z62">
        <f>(1-M62)*E5b!M62</f>
        <v>499.99999999999989</v>
      </c>
      <c r="AA62">
        <v>2</v>
      </c>
      <c r="AB62" s="3">
        <f>(E5b!C62-P62-(E5b!B62-O62))/(E5b!C62-E5b!B62)</f>
        <v>0</v>
      </c>
      <c r="AC62" s="69">
        <f>(E5b!D62-Q62-(E5b!C62-P62))/(E5b!D62-E5b!C62)</f>
        <v>1.25</v>
      </c>
      <c r="AD62" s="68">
        <f>(E5b!E62-R62-(E5b!D62-Q62))/(E5b!E62-E5b!D62)</f>
        <v>0.42500000000000027</v>
      </c>
      <c r="AE62" s="68">
        <f>(E5b!F62-S62-(E5b!E62-R62))/(E5b!F62-E5b!E62)</f>
        <v>0.63333333333333319</v>
      </c>
      <c r="AF62" s="68">
        <f>(E5b!G62-T62-(E5b!F62-S62))/(E5b!G62-E5b!F62)</f>
        <v>0.6</v>
      </c>
      <c r="AG62" s="3">
        <f>(E5b!H62-U62-(E5b!G62-T62))/(E5b!H62-E5b!G62)</f>
        <v>0.66666666666666663</v>
      </c>
      <c r="AH62" s="3">
        <f>(E5b!I62-V62-(E5b!H62-U62))/(E5b!I62-E5b!H62)</f>
        <v>0.8</v>
      </c>
      <c r="AI62" s="3">
        <f>(E5b!J62-W62-(E5b!I62-V62))/(E5b!J62-E5b!I62)</f>
        <v>0.8</v>
      </c>
      <c r="AJ62" s="3">
        <f>(E5b!K62-X62-(E5b!J62-W62))/(E5b!K62-E5b!J62)</f>
        <v>0.83333333333333337</v>
      </c>
      <c r="AK62" s="3">
        <f>(E5b!L62-Y62-(E5b!K62-X62))/(E5b!L62-E5b!K62)</f>
        <v>0.9</v>
      </c>
      <c r="AL62" s="3">
        <f>(E5b!M62-Z62-(E5b!L62-Y62))/(E5b!M62-E5b!L62)</f>
        <v>0.91249999999999998</v>
      </c>
    </row>
    <row r="63" spans="1:38" ht="15.75" customHeight="1" x14ac:dyDescent="0.25">
      <c r="A63" s="21">
        <v>2085</v>
      </c>
      <c r="B63" s="22">
        <f t="shared" si="37"/>
        <v>0</v>
      </c>
      <c r="C63" s="22">
        <f t="shared" si="38"/>
        <v>0</v>
      </c>
      <c r="D63" s="22">
        <f t="shared" si="39"/>
        <v>0.25</v>
      </c>
      <c r="E63" s="22">
        <f t="shared" si="40"/>
        <v>0.3</v>
      </c>
      <c r="F63" s="22">
        <f t="shared" si="41"/>
        <v>0.4</v>
      </c>
      <c r="G63" s="22">
        <f t="shared" si="42"/>
        <v>0.5</v>
      </c>
      <c r="H63" s="22">
        <f t="shared" si="43"/>
        <v>0.6</v>
      </c>
      <c r="I63" s="22">
        <f t="shared" si="44"/>
        <v>0.7</v>
      </c>
      <c r="J63" s="22">
        <f t="shared" si="45"/>
        <v>0.75</v>
      </c>
      <c r="K63" s="22">
        <f t="shared" si="46"/>
        <v>0.8</v>
      </c>
      <c r="L63" s="22">
        <f t="shared" si="47"/>
        <v>0.85</v>
      </c>
      <c r="M63" s="22">
        <f t="shared" si="48"/>
        <v>0.9</v>
      </c>
      <c r="N63" s="22"/>
      <c r="O63">
        <f>(1-B63)*E5b!B63</f>
        <v>3</v>
      </c>
      <c r="P63">
        <f>(1-C63)*E5b!C63</f>
        <v>4</v>
      </c>
      <c r="Q63">
        <f>(1-D63)*E5b!D63</f>
        <v>3.75</v>
      </c>
      <c r="R63">
        <f>(1-E63)*E5b!E63</f>
        <v>4.8999999999999995</v>
      </c>
      <c r="S63">
        <f>(1-F63)*E5b!F63</f>
        <v>6</v>
      </c>
      <c r="T63">
        <f>(1-G63)*E5b!G63</f>
        <v>10</v>
      </c>
      <c r="U63">
        <f>(1-H63)*E5b!H63</f>
        <v>20</v>
      </c>
      <c r="V63">
        <f>(1-I63)*E5b!I63</f>
        <v>30.000000000000004</v>
      </c>
      <c r="W63">
        <f>(1-J63)*E5b!J63</f>
        <v>50</v>
      </c>
      <c r="X63">
        <f>(1-K63)*E5b!K63</f>
        <v>99.999999999999972</v>
      </c>
      <c r="Y63">
        <f>(1-L63)*E5b!L63</f>
        <v>150.00000000000003</v>
      </c>
      <c r="Z63">
        <f>(1-M63)*E5b!M63</f>
        <v>499.99999999999989</v>
      </c>
      <c r="AA63">
        <v>2</v>
      </c>
      <c r="AB63" s="3">
        <f>(E5b!C63-P63-(E5b!B63-O63))/(E5b!C63-E5b!B63)</f>
        <v>0</v>
      </c>
      <c r="AC63" s="69">
        <f>(E5b!D63-Q63-(E5b!C63-P63))/(E5b!D63-E5b!C63)</f>
        <v>1.25</v>
      </c>
      <c r="AD63" s="68">
        <f>(E5b!E63-R63-(E5b!D63-Q63))/(E5b!E63-E5b!D63)</f>
        <v>0.42500000000000027</v>
      </c>
      <c r="AE63" s="68">
        <f>(E5b!F63-S63-(E5b!E63-R63))/(E5b!F63-E5b!E63)</f>
        <v>0.63333333333333319</v>
      </c>
      <c r="AF63" s="68">
        <f>(E5b!G63-T63-(E5b!F63-S63))/(E5b!G63-E5b!F63)</f>
        <v>0.6</v>
      </c>
      <c r="AG63" s="3">
        <f>(E5b!H63-U63-(E5b!G63-T63))/(E5b!H63-E5b!G63)</f>
        <v>0.66666666666666663</v>
      </c>
      <c r="AH63" s="3">
        <f>(E5b!I63-V63-(E5b!H63-U63))/(E5b!I63-E5b!H63)</f>
        <v>0.8</v>
      </c>
      <c r="AI63" s="3">
        <f>(E5b!J63-W63-(E5b!I63-V63))/(E5b!J63-E5b!I63)</f>
        <v>0.8</v>
      </c>
      <c r="AJ63" s="3">
        <f>(E5b!K63-X63-(E5b!J63-W63))/(E5b!K63-E5b!J63)</f>
        <v>0.83333333333333337</v>
      </c>
      <c r="AK63" s="3">
        <f>(E5b!L63-Y63-(E5b!K63-X63))/(E5b!L63-E5b!K63)</f>
        <v>0.9</v>
      </c>
      <c r="AL63" s="3">
        <f>(E5b!M63-Z63-(E5b!L63-Y63))/(E5b!M63-E5b!L63)</f>
        <v>0.91249999999999998</v>
      </c>
    </row>
    <row r="64" spans="1:38" ht="15.75" customHeight="1" x14ac:dyDescent="0.25">
      <c r="A64" s="21">
        <v>2086</v>
      </c>
      <c r="B64" s="22">
        <f t="shared" si="37"/>
        <v>0</v>
      </c>
      <c r="C64" s="22">
        <f t="shared" si="38"/>
        <v>0</v>
      </c>
      <c r="D64" s="22">
        <f t="shared" si="39"/>
        <v>0.25</v>
      </c>
      <c r="E64" s="22">
        <f t="shared" si="40"/>
        <v>0.3</v>
      </c>
      <c r="F64" s="22">
        <f t="shared" si="41"/>
        <v>0.4</v>
      </c>
      <c r="G64" s="22">
        <f t="shared" si="42"/>
        <v>0.5</v>
      </c>
      <c r="H64" s="22">
        <f t="shared" si="43"/>
        <v>0.6</v>
      </c>
      <c r="I64" s="22">
        <f t="shared" si="44"/>
        <v>0.7</v>
      </c>
      <c r="J64" s="22">
        <f t="shared" si="45"/>
        <v>0.75</v>
      </c>
      <c r="K64" s="22">
        <f t="shared" si="46"/>
        <v>0.8</v>
      </c>
      <c r="L64" s="22">
        <f t="shared" si="47"/>
        <v>0.85</v>
      </c>
      <c r="M64" s="22">
        <f t="shared" si="48"/>
        <v>0.9</v>
      </c>
      <c r="N64" s="22"/>
      <c r="O64">
        <f>(1-B64)*E5b!B64</f>
        <v>3</v>
      </c>
      <c r="P64">
        <f>(1-C64)*E5b!C64</f>
        <v>4</v>
      </c>
      <c r="Q64">
        <f>(1-D64)*E5b!D64</f>
        <v>3.75</v>
      </c>
      <c r="R64">
        <f>(1-E64)*E5b!E64</f>
        <v>4.8999999999999995</v>
      </c>
      <c r="S64">
        <f>(1-F64)*E5b!F64</f>
        <v>6</v>
      </c>
      <c r="T64">
        <f>(1-G64)*E5b!G64</f>
        <v>10</v>
      </c>
      <c r="U64">
        <f>(1-H64)*E5b!H64</f>
        <v>20</v>
      </c>
      <c r="V64">
        <f>(1-I64)*E5b!I64</f>
        <v>30.000000000000004</v>
      </c>
      <c r="W64">
        <f>(1-J64)*E5b!J64</f>
        <v>50</v>
      </c>
      <c r="X64">
        <f>(1-K64)*E5b!K64</f>
        <v>99.999999999999972</v>
      </c>
      <c r="Y64">
        <f>(1-L64)*E5b!L64</f>
        <v>150.00000000000003</v>
      </c>
      <c r="Z64">
        <f>(1-M64)*E5b!M64</f>
        <v>499.99999999999989</v>
      </c>
      <c r="AA64">
        <v>2</v>
      </c>
      <c r="AB64" s="3">
        <f>(E5b!C64-P64-(E5b!B64-O64))/(E5b!C64-E5b!B64)</f>
        <v>0</v>
      </c>
      <c r="AC64" s="69">
        <f>(E5b!D64-Q64-(E5b!C64-P64))/(E5b!D64-E5b!C64)</f>
        <v>1.25</v>
      </c>
      <c r="AD64" s="68">
        <f>(E5b!E64-R64-(E5b!D64-Q64))/(E5b!E64-E5b!D64)</f>
        <v>0.42500000000000027</v>
      </c>
      <c r="AE64" s="68">
        <f>(E5b!F64-S64-(E5b!E64-R64))/(E5b!F64-E5b!E64)</f>
        <v>0.63333333333333319</v>
      </c>
      <c r="AF64" s="68">
        <f>(E5b!G64-T64-(E5b!F64-S64))/(E5b!G64-E5b!F64)</f>
        <v>0.6</v>
      </c>
      <c r="AG64" s="3">
        <f>(E5b!H64-U64-(E5b!G64-T64))/(E5b!H64-E5b!G64)</f>
        <v>0.66666666666666663</v>
      </c>
      <c r="AH64" s="3">
        <f>(E5b!I64-V64-(E5b!H64-U64))/(E5b!I64-E5b!H64)</f>
        <v>0.8</v>
      </c>
      <c r="AI64" s="3">
        <f>(E5b!J64-W64-(E5b!I64-V64))/(E5b!J64-E5b!I64)</f>
        <v>0.8</v>
      </c>
      <c r="AJ64" s="3">
        <f>(E5b!K64-X64-(E5b!J64-W64))/(E5b!K64-E5b!J64)</f>
        <v>0.83333333333333337</v>
      </c>
      <c r="AK64" s="3">
        <f>(E5b!L64-Y64-(E5b!K64-X64))/(E5b!L64-E5b!K64)</f>
        <v>0.9</v>
      </c>
      <c r="AL64" s="3">
        <f>(E5b!M64-Z64-(E5b!L64-Y64))/(E5b!M64-E5b!L64)</f>
        <v>0.91249999999999998</v>
      </c>
    </row>
    <row r="65" spans="1:38" ht="15.75" customHeight="1" x14ac:dyDescent="0.25">
      <c r="A65" s="21">
        <v>2087</v>
      </c>
      <c r="B65" s="22">
        <f t="shared" si="37"/>
        <v>0</v>
      </c>
      <c r="C65" s="22">
        <f t="shared" si="38"/>
        <v>0</v>
      </c>
      <c r="D65" s="22">
        <f t="shared" si="39"/>
        <v>0.25</v>
      </c>
      <c r="E65" s="22">
        <f t="shared" si="40"/>
        <v>0.3</v>
      </c>
      <c r="F65" s="22">
        <f t="shared" si="41"/>
        <v>0.4</v>
      </c>
      <c r="G65" s="22">
        <f t="shared" si="42"/>
        <v>0.5</v>
      </c>
      <c r="H65" s="22">
        <f t="shared" si="43"/>
        <v>0.6</v>
      </c>
      <c r="I65" s="22">
        <f t="shared" si="44"/>
        <v>0.7</v>
      </c>
      <c r="J65" s="22">
        <f t="shared" si="45"/>
        <v>0.75</v>
      </c>
      <c r="K65" s="22">
        <f t="shared" si="46"/>
        <v>0.8</v>
      </c>
      <c r="L65" s="22">
        <f t="shared" si="47"/>
        <v>0.85</v>
      </c>
      <c r="M65" s="22">
        <f t="shared" si="48"/>
        <v>0.9</v>
      </c>
      <c r="N65" s="22"/>
      <c r="O65">
        <f>(1-B65)*E5b!B65</f>
        <v>3</v>
      </c>
      <c r="P65">
        <f>(1-C65)*E5b!C65</f>
        <v>4</v>
      </c>
      <c r="Q65">
        <f>(1-D65)*E5b!D65</f>
        <v>3.75</v>
      </c>
      <c r="R65">
        <f>(1-E65)*E5b!E65</f>
        <v>4.8999999999999995</v>
      </c>
      <c r="S65">
        <f>(1-F65)*E5b!F65</f>
        <v>6</v>
      </c>
      <c r="T65">
        <f>(1-G65)*E5b!G65</f>
        <v>10</v>
      </c>
      <c r="U65">
        <f>(1-H65)*E5b!H65</f>
        <v>20</v>
      </c>
      <c r="V65">
        <f>(1-I65)*E5b!I65</f>
        <v>30.000000000000004</v>
      </c>
      <c r="W65">
        <f>(1-J65)*E5b!J65</f>
        <v>50</v>
      </c>
      <c r="X65">
        <f>(1-K65)*E5b!K65</f>
        <v>99.999999999999972</v>
      </c>
      <c r="Y65">
        <f>(1-L65)*E5b!L65</f>
        <v>150.00000000000003</v>
      </c>
      <c r="Z65">
        <f>(1-M65)*E5b!M65</f>
        <v>499.99999999999989</v>
      </c>
      <c r="AA65">
        <v>2</v>
      </c>
      <c r="AB65" s="3">
        <f>(E5b!C65-P65-(E5b!B65-O65))/(E5b!C65-E5b!B65)</f>
        <v>0</v>
      </c>
      <c r="AC65" s="69">
        <f>(E5b!D65-Q65-(E5b!C65-P65))/(E5b!D65-E5b!C65)</f>
        <v>1.25</v>
      </c>
      <c r="AD65" s="68">
        <f>(E5b!E65-R65-(E5b!D65-Q65))/(E5b!E65-E5b!D65)</f>
        <v>0.42500000000000027</v>
      </c>
      <c r="AE65" s="68">
        <f>(E5b!F65-S65-(E5b!E65-R65))/(E5b!F65-E5b!E65)</f>
        <v>0.63333333333333319</v>
      </c>
      <c r="AF65" s="68">
        <f>(E5b!G65-T65-(E5b!F65-S65))/(E5b!G65-E5b!F65)</f>
        <v>0.6</v>
      </c>
      <c r="AG65" s="3">
        <f>(E5b!H65-U65-(E5b!G65-T65))/(E5b!H65-E5b!G65)</f>
        <v>0.66666666666666663</v>
      </c>
      <c r="AH65" s="3">
        <f>(E5b!I65-V65-(E5b!H65-U65))/(E5b!I65-E5b!H65)</f>
        <v>0.8</v>
      </c>
      <c r="AI65" s="3">
        <f>(E5b!J65-W65-(E5b!I65-V65))/(E5b!J65-E5b!I65)</f>
        <v>0.8</v>
      </c>
      <c r="AJ65" s="3">
        <f>(E5b!K65-X65-(E5b!J65-W65))/(E5b!K65-E5b!J65)</f>
        <v>0.83333333333333337</v>
      </c>
      <c r="AK65" s="3">
        <f>(E5b!L65-Y65-(E5b!K65-X65))/(E5b!L65-E5b!K65)</f>
        <v>0.9</v>
      </c>
      <c r="AL65" s="3">
        <f>(E5b!M65-Z65-(E5b!L65-Y65))/(E5b!M65-E5b!L65)</f>
        <v>0.91249999999999998</v>
      </c>
    </row>
    <row r="66" spans="1:38" ht="15.75" customHeight="1" x14ac:dyDescent="0.25">
      <c r="A66" s="21">
        <v>2088</v>
      </c>
      <c r="B66" s="22">
        <f t="shared" si="37"/>
        <v>0</v>
      </c>
      <c r="C66" s="22">
        <f t="shared" si="38"/>
        <v>0</v>
      </c>
      <c r="D66" s="22">
        <f t="shared" si="39"/>
        <v>0.25</v>
      </c>
      <c r="E66" s="22">
        <f t="shared" si="40"/>
        <v>0.3</v>
      </c>
      <c r="F66" s="22">
        <f t="shared" si="41"/>
        <v>0.4</v>
      </c>
      <c r="G66" s="22">
        <f t="shared" si="42"/>
        <v>0.5</v>
      </c>
      <c r="H66" s="22">
        <f t="shared" si="43"/>
        <v>0.6</v>
      </c>
      <c r="I66" s="22">
        <f t="shared" si="44"/>
        <v>0.7</v>
      </c>
      <c r="J66" s="22">
        <f t="shared" si="45"/>
        <v>0.75</v>
      </c>
      <c r="K66" s="22">
        <f t="shared" si="46"/>
        <v>0.8</v>
      </c>
      <c r="L66" s="22">
        <f t="shared" si="47"/>
        <v>0.85</v>
      </c>
      <c r="M66" s="22">
        <f t="shared" si="48"/>
        <v>0.9</v>
      </c>
      <c r="N66" s="22"/>
      <c r="O66">
        <f>(1-B66)*E5b!B66</f>
        <v>3</v>
      </c>
      <c r="P66">
        <f>(1-C66)*E5b!C66</f>
        <v>4</v>
      </c>
      <c r="Q66">
        <f>(1-D66)*E5b!D66</f>
        <v>3.75</v>
      </c>
      <c r="R66">
        <f>(1-E66)*E5b!E66</f>
        <v>4.8999999999999995</v>
      </c>
      <c r="S66">
        <f>(1-F66)*E5b!F66</f>
        <v>6</v>
      </c>
      <c r="T66">
        <f>(1-G66)*E5b!G66</f>
        <v>10</v>
      </c>
      <c r="U66">
        <f>(1-H66)*E5b!H66</f>
        <v>20</v>
      </c>
      <c r="V66">
        <f>(1-I66)*E5b!I66</f>
        <v>30.000000000000004</v>
      </c>
      <c r="W66">
        <f>(1-J66)*E5b!J66</f>
        <v>50</v>
      </c>
      <c r="X66">
        <f>(1-K66)*E5b!K66</f>
        <v>99.999999999999972</v>
      </c>
      <c r="Y66">
        <f>(1-L66)*E5b!L66</f>
        <v>150.00000000000003</v>
      </c>
      <c r="Z66">
        <f>(1-M66)*E5b!M66</f>
        <v>499.99999999999989</v>
      </c>
      <c r="AA66">
        <v>2</v>
      </c>
      <c r="AB66" s="3">
        <f>(E5b!C66-P66-(E5b!B66-O66))/(E5b!C66-E5b!B66)</f>
        <v>0</v>
      </c>
      <c r="AC66" s="69">
        <f>(E5b!D66-Q66-(E5b!C66-P66))/(E5b!D66-E5b!C66)</f>
        <v>1.25</v>
      </c>
      <c r="AD66" s="68">
        <f>(E5b!E66-R66-(E5b!D66-Q66))/(E5b!E66-E5b!D66)</f>
        <v>0.42500000000000027</v>
      </c>
      <c r="AE66" s="68">
        <f>(E5b!F66-S66-(E5b!E66-R66))/(E5b!F66-E5b!E66)</f>
        <v>0.63333333333333319</v>
      </c>
      <c r="AF66" s="68">
        <f>(E5b!G66-T66-(E5b!F66-S66))/(E5b!G66-E5b!F66)</f>
        <v>0.6</v>
      </c>
      <c r="AG66" s="3">
        <f>(E5b!H66-U66-(E5b!G66-T66))/(E5b!H66-E5b!G66)</f>
        <v>0.66666666666666663</v>
      </c>
      <c r="AH66" s="3">
        <f>(E5b!I66-V66-(E5b!H66-U66))/(E5b!I66-E5b!H66)</f>
        <v>0.8</v>
      </c>
      <c r="AI66" s="3">
        <f>(E5b!J66-W66-(E5b!I66-V66))/(E5b!J66-E5b!I66)</f>
        <v>0.8</v>
      </c>
      <c r="AJ66" s="3">
        <f>(E5b!K66-X66-(E5b!J66-W66))/(E5b!K66-E5b!J66)</f>
        <v>0.83333333333333337</v>
      </c>
      <c r="AK66" s="3">
        <f>(E5b!L66-Y66-(E5b!K66-X66))/(E5b!L66-E5b!K66)</f>
        <v>0.9</v>
      </c>
      <c r="AL66" s="3">
        <f>(E5b!M66-Z66-(E5b!L66-Y66))/(E5b!M66-E5b!L66)</f>
        <v>0.91249999999999998</v>
      </c>
    </row>
    <row r="67" spans="1:38" ht="15.75" customHeight="1" x14ac:dyDescent="0.25">
      <c r="A67" s="21">
        <v>2089</v>
      </c>
      <c r="B67" s="22">
        <f t="shared" si="37"/>
        <v>0</v>
      </c>
      <c r="C67" s="22">
        <f t="shared" si="38"/>
        <v>0</v>
      </c>
      <c r="D67" s="22">
        <f t="shared" si="39"/>
        <v>0.25</v>
      </c>
      <c r="E67" s="22">
        <f t="shared" si="40"/>
        <v>0.3</v>
      </c>
      <c r="F67" s="22">
        <f t="shared" si="41"/>
        <v>0.4</v>
      </c>
      <c r="G67" s="22">
        <f t="shared" si="42"/>
        <v>0.5</v>
      </c>
      <c r="H67" s="22">
        <f t="shared" si="43"/>
        <v>0.6</v>
      </c>
      <c r="I67" s="22">
        <f t="shared" si="44"/>
        <v>0.7</v>
      </c>
      <c r="J67" s="22">
        <f t="shared" si="45"/>
        <v>0.75</v>
      </c>
      <c r="K67" s="22">
        <f t="shared" si="46"/>
        <v>0.8</v>
      </c>
      <c r="L67" s="22">
        <f t="shared" si="47"/>
        <v>0.85</v>
      </c>
      <c r="M67" s="22">
        <f t="shared" si="48"/>
        <v>0.9</v>
      </c>
      <c r="N67" s="22"/>
      <c r="O67">
        <f>(1-B67)*E5b!B67</f>
        <v>3</v>
      </c>
      <c r="P67">
        <f>(1-C67)*E5b!C67</f>
        <v>4</v>
      </c>
      <c r="Q67">
        <f>(1-D67)*E5b!D67</f>
        <v>3.75</v>
      </c>
      <c r="R67">
        <f>(1-E67)*E5b!E67</f>
        <v>4.8999999999999995</v>
      </c>
      <c r="S67">
        <f>(1-F67)*E5b!F67</f>
        <v>6</v>
      </c>
      <c r="T67">
        <f>(1-G67)*E5b!G67</f>
        <v>10</v>
      </c>
      <c r="U67">
        <f>(1-H67)*E5b!H67</f>
        <v>20</v>
      </c>
      <c r="V67">
        <f>(1-I67)*E5b!I67</f>
        <v>30.000000000000004</v>
      </c>
      <c r="W67">
        <f>(1-J67)*E5b!J67</f>
        <v>50</v>
      </c>
      <c r="X67">
        <f>(1-K67)*E5b!K67</f>
        <v>99.999999999999972</v>
      </c>
      <c r="Y67">
        <f>(1-L67)*E5b!L67</f>
        <v>150.00000000000003</v>
      </c>
      <c r="Z67">
        <f>(1-M67)*E5b!M67</f>
        <v>499.99999999999989</v>
      </c>
      <c r="AA67">
        <v>2</v>
      </c>
      <c r="AB67" s="3">
        <f>(E5b!C67-P67-(E5b!B67-O67))/(E5b!C67-E5b!B67)</f>
        <v>0</v>
      </c>
      <c r="AC67" s="69">
        <f>(E5b!D67-Q67-(E5b!C67-P67))/(E5b!D67-E5b!C67)</f>
        <v>1.25</v>
      </c>
      <c r="AD67" s="68">
        <f>(E5b!E67-R67-(E5b!D67-Q67))/(E5b!E67-E5b!D67)</f>
        <v>0.42500000000000027</v>
      </c>
      <c r="AE67" s="68">
        <f>(E5b!F67-S67-(E5b!E67-R67))/(E5b!F67-E5b!E67)</f>
        <v>0.63333333333333319</v>
      </c>
      <c r="AF67" s="68">
        <f>(E5b!G67-T67-(E5b!F67-S67))/(E5b!G67-E5b!F67)</f>
        <v>0.6</v>
      </c>
      <c r="AG67" s="3">
        <f>(E5b!H67-U67-(E5b!G67-T67))/(E5b!H67-E5b!G67)</f>
        <v>0.66666666666666663</v>
      </c>
      <c r="AH67" s="3">
        <f>(E5b!I67-V67-(E5b!H67-U67))/(E5b!I67-E5b!H67)</f>
        <v>0.8</v>
      </c>
      <c r="AI67" s="3">
        <f>(E5b!J67-W67-(E5b!I67-V67))/(E5b!J67-E5b!I67)</f>
        <v>0.8</v>
      </c>
      <c r="AJ67" s="3">
        <f>(E5b!K67-X67-(E5b!J67-W67))/(E5b!K67-E5b!J67)</f>
        <v>0.83333333333333337</v>
      </c>
      <c r="AK67" s="3">
        <f>(E5b!L67-Y67-(E5b!K67-X67))/(E5b!L67-E5b!K67)</f>
        <v>0.9</v>
      </c>
      <c r="AL67" s="3">
        <f>(E5b!M67-Z67-(E5b!L67-Y67))/(E5b!M67-E5b!L67)</f>
        <v>0.91249999999999998</v>
      </c>
    </row>
    <row r="68" spans="1:38" ht="15.75" customHeight="1" x14ac:dyDescent="0.25">
      <c r="A68" s="21">
        <v>2090</v>
      </c>
      <c r="B68" s="22">
        <f t="shared" si="37"/>
        <v>0</v>
      </c>
      <c r="C68" s="22">
        <f t="shared" si="38"/>
        <v>0</v>
      </c>
      <c r="D68" s="22">
        <f t="shared" si="39"/>
        <v>0.25</v>
      </c>
      <c r="E68" s="22">
        <f t="shared" si="40"/>
        <v>0.3</v>
      </c>
      <c r="F68" s="22">
        <f t="shared" si="41"/>
        <v>0.4</v>
      </c>
      <c r="G68" s="22">
        <f t="shared" si="42"/>
        <v>0.5</v>
      </c>
      <c r="H68" s="22">
        <f t="shared" si="43"/>
        <v>0.6</v>
      </c>
      <c r="I68" s="22">
        <f t="shared" si="44"/>
        <v>0.7</v>
      </c>
      <c r="J68" s="22">
        <f t="shared" si="45"/>
        <v>0.75</v>
      </c>
      <c r="K68" s="22">
        <f t="shared" si="46"/>
        <v>0.8</v>
      </c>
      <c r="L68" s="22">
        <f t="shared" si="47"/>
        <v>0.85</v>
      </c>
      <c r="M68" s="22">
        <f t="shared" si="48"/>
        <v>0.9</v>
      </c>
      <c r="N68" s="22"/>
      <c r="O68">
        <f>(1-B68)*E5b!B68</f>
        <v>3</v>
      </c>
      <c r="P68">
        <f>(1-C68)*E5b!C68</f>
        <v>4</v>
      </c>
      <c r="Q68">
        <f>(1-D68)*E5b!D68</f>
        <v>3.75</v>
      </c>
      <c r="R68">
        <f>(1-E68)*E5b!E68</f>
        <v>4.8999999999999995</v>
      </c>
      <c r="S68">
        <f>(1-F68)*E5b!F68</f>
        <v>6</v>
      </c>
      <c r="T68">
        <f>(1-G68)*E5b!G68</f>
        <v>10</v>
      </c>
      <c r="U68">
        <f>(1-H68)*E5b!H68</f>
        <v>20</v>
      </c>
      <c r="V68">
        <f>(1-I68)*E5b!I68</f>
        <v>30.000000000000004</v>
      </c>
      <c r="W68">
        <f>(1-J68)*E5b!J68</f>
        <v>50</v>
      </c>
      <c r="X68">
        <f>(1-K68)*E5b!K68</f>
        <v>99.999999999999972</v>
      </c>
      <c r="Y68">
        <f>(1-L68)*E5b!L68</f>
        <v>150.00000000000003</v>
      </c>
      <c r="Z68">
        <f>(1-M68)*E5b!M68</f>
        <v>499.99999999999989</v>
      </c>
      <c r="AA68">
        <v>2</v>
      </c>
      <c r="AB68" s="3">
        <f>(E5b!C68-P68-(E5b!B68-O68))/(E5b!C68-E5b!B68)</f>
        <v>0</v>
      </c>
      <c r="AC68" s="69">
        <f>(E5b!D68-Q68-(E5b!C68-P68))/(E5b!D68-E5b!C68)</f>
        <v>1.25</v>
      </c>
      <c r="AD68" s="68">
        <f>(E5b!E68-R68-(E5b!D68-Q68))/(E5b!E68-E5b!D68)</f>
        <v>0.42500000000000027</v>
      </c>
      <c r="AE68" s="68">
        <f>(E5b!F68-S68-(E5b!E68-R68))/(E5b!F68-E5b!E68)</f>
        <v>0.63333333333333319</v>
      </c>
      <c r="AF68" s="68">
        <f>(E5b!G68-T68-(E5b!F68-S68))/(E5b!G68-E5b!F68)</f>
        <v>0.6</v>
      </c>
      <c r="AG68" s="3">
        <f>(E5b!H68-U68-(E5b!G68-T68))/(E5b!H68-E5b!G68)</f>
        <v>0.66666666666666663</v>
      </c>
      <c r="AH68" s="3">
        <f>(E5b!I68-V68-(E5b!H68-U68))/(E5b!I68-E5b!H68)</f>
        <v>0.8</v>
      </c>
      <c r="AI68" s="3">
        <f>(E5b!J68-W68-(E5b!I68-V68))/(E5b!J68-E5b!I68)</f>
        <v>0.8</v>
      </c>
      <c r="AJ68" s="3">
        <f>(E5b!K68-X68-(E5b!J68-W68))/(E5b!K68-E5b!J68)</f>
        <v>0.83333333333333337</v>
      </c>
      <c r="AK68" s="3">
        <f>(E5b!L68-Y68-(E5b!K68-X68))/(E5b!L68-E5b!K68)</f>
        <v>0.9</v>
      </c>
      <c r="AL68" s="3">
        <f>(E5b!M68-Z68-(E5b!L68-Y68))/(E5b!M68-E5b!L68)</f>
        <v>0.91249999999999998</v>
      </c>
    </row>
    <row r="69" spans="1:38" ht="15.75" customHeight="1" x14ac:dyDescent="0.25">
      <c r="A69" s="21">
        <v>2091</v>
      </c>
      <c r="B69" s="22">
        <f t="shared" si="37"/>
        <v>0</v>
      </c>
      <c r="C69" s="22">
        <f t="shared" si="38"/>
        <v>0</v>
      </c>
      <c r="D69" s="22">
        <f t="shared" si="39"/>
        <v>0.25</v>
      </c>
      <c r="E69" s="22">
        <f t="shared" si="40"/>
        <v>0.3</v>
      </c>
      <c r="F69" s="22">
        <f t="shared" si="41"/>
        <v>0.4</v>
      </c>
      <c r="G69" s="22">
        <f t="shared" si="42"/>
        <v>0.5</v>
      </c>
      <c r="H69" s="22">
        <f t="shared" si="43"/>
        <v>0.6</v>
      </c>
      <c r="I69" s="22">
        <f t="shared" si="44"/>
        <v>0.7</v>
      </c>
      <c r="J69" s="22">
        <f t="shared" si="45"/>
        <v>0.75</v>
      </c>
      <c r="K69" s="22">
        <f t="shared" si="46"/>
        <v>0.8</v>
      </c>
      <c r="L69" s="22">
        <f t="shared" si="47"/>
        <v>0.85</v>
      </c>
      <c r="M69" s="22">
        <f t="shared" si="48"/>
        <v>0.9</v>
      </c>
      <c r="N69" s="22"/>
      <c r="O69">
        <f>(1-B69)*E5b!B69</f>
        <v>3</v>
      </c>
      <c r="P69">
        <f>(1-C69)*E5b!C69</f>
        <v>4</v>
      </c>
      <c r="Q69">
        <f>(1-D69)*E5b!D69</f>
        <v>3.75</v>
      </c>
      <c r="R69">
        <f>(1-E69)*E5b!E69</f>
        <v>4.8999999999999995</v>
      </c>
      <c r="S69">
        <f>(1-F69)*E5b!F69</f>
        <v>6</v>
      </c>
      <c r="T69">
        <f>(1-G69)*E5b!G69</f>
        <v>10</v>
      </c>
      <c r="U69">
        <f>(1-H69)*E5b!H69</f>
        <v>20</v>
      </c>
      <c r="V69">
        <f>(1-I69)*E5b!I69</f>
        <v>30.000000000000004</v>
      </c>
      <c r="W69">
        <f>(1-J69)*E5b!J69</f>
        <v>50</v>
      </c>
      <c r="X69">
        <f>(1-K69)*E5b!K69</f>
        <v>99.999999999999972</v>
      </c>
      <c r="Y69">
        <f>(1-L69)*E5b!L69</f>
        <v>150.00000000000003</v>
      </c>
      <c r="Z69">
        <f>(1-M69)*E5b!M69</f>
        <v>499.99999999999989</v>
      </c>
      <c r="AA69">
        <v>2</v>
      </c>
      <c r="AB69" s="3">
        <f>(E5b!C69-P69-(E5b!B69-O69))/(E5b!C69-E5b!B69)</f>
        <v>0</v>
      </c>
      <c r="AC69" s="69">
        <f>(E5b!D69-Q69-(E5b!C69-P69))/(E5b!D69-E5b!C69)</f>
        <v>1.25</v>
      </c>
      <c r="AD69" s="68">
        <f>(E5b!E69-R69-(E5b!D69-Q69))/(E5b!E69-E5b!D69)</f>
        <v>0.42500000000000027</v>
      </c>
      <c r="AE69" s="68">
        <f>(E5b!F69-S69-(E5b!E69-R69))/(E5b!F69-E5b!E69)</f>
        <v>0.63333333333333319</v>
      </c>
      <c r="AF69" s="68">
        <f>(E5b!G69-T69-(E5b!F69-S69))/(E5b!G69-E5b!F69)</f>
        <v>0.6</v>
      </c>
      <c r="AG69" s="3">
        <f>(E5b!H69-U69-(E5b!G69-T69))/(E5b!H69-E5b!G69)</f>
        <v>0.66666666666666663</v>
      </c>
      <c r="AH69" s="3">
        <f>(E5b!I69-V69-(E5b!H69-U69))/(E5b!I69-E5b!H69)</f>
        <v>0.8</v>
      </c>
      <c r="AI69" s="3">
        <f>(E5b!J69-W69-(E5b!I69-V69))/(E5b!J69-E5b!I69)</f>
        <v>0.8</v>
      </c>
      <c r="AJ69" s="3">
        <f>(E5b!K69-X69-(E5b!J69-W69))/(E5b!K69-E5b!J69)</f>
        <v>0.83333333333333337</v>
      </c>
      <c r="AK69" s="3">
        <f>(E5b!L69-Y69-(E5b!K69-X69))/(E5b!L69-E5b!K69)</f>
        <v>0.9</v>
      </c>
      <c r="AL69" s="3">
        <f>(E5b!M69-Z69-(E5b!L69-Y69))/(E5b!M69-E5b!L69)</f>
        <v>0.91249999999999998</v>
      </c>
    </row>
    <row r="70" spans="1:38" ht="15.75" customHeight="1" x14ac:dyDescent="0.25">
      <c r="A70" s="21">
        <v>2092</v>
      </c>
      <c r="B70" s="22">
        <f t="shared" si="37"/>
        <v>0</v>
      </c>
      <c r="C70" s="22">
        <f t="shared" si="38"/>
        <v>0</v>
      </c>
      <c r="D70" s="22">
        <f t="shared" si="39"/>
        <v>0.25</v>
      </c>
      <c r="E70" s="22">
        <f t="shared" si="40"/>
        <v>0.3</v>
      </c>
      <c r="F70" s="22">
        <f t="shared" si="41"/>
        <v>0.4</v>
      </c>
      <c r="G70" s="22">
        <f t="shared" si="42"/>
        <v>0.5</v>
      </c>
      <c r="H70" s="22">
        <f t="shared" si="43"/>
        <v>0.6</v>
      </c>
      <c r="I70" s="22">
        <f t="shared" si="44"/>
        <v>0.7</v>
      </c>
      <c r="J70" s="22">
        <f t="shared" si="45"/>
        <v>0.75</v>
      </c>
      <c r="K70" s="22">
        <f t="shared" si="46"/>
        <v>0.8</v>
      </c>
      <c r="L70" s="22">
        <f t="shared" si="47"/>
        <v>0.85</v>
      </c>
      <c r="M70" s="22">
        <f t="shared" si="48"/>
        <v>0.9</v>
      </c>
      <c r="N70" s="22"/>
      <c r="O70">
        <f>(1-B70)*E5b!B70</f>
        <v>3</v>
      </c>
      <c r="P70">
        <f>(1-C70)*E5b!C70</f>
        <v>4</v>
      </c>
      <c r="Q70">
        <f>(1-D70)*E5b!D70</f>
        <v>3.75</v>
      </c>
      <c r="R70">
        <f>(1-E70)*E5b!E70</f>
        <v>4.8999999999999995</v>
      </c>
      <c r="S70">
        <f>(1-F70)*E5b!F70</f>
        <v>6</v>
      </c>
      <c r="T70">
        <f>(1-G70)*E5b!G70</f>
        <v>10</v>
      </c>
      <c r="U70">
        <f>(1-H70)*E5b!H70</f>
        <v>20</v>
      </c>
      <c r="V70">
        <f>(1-I70)*E5b!I70</f>
        <v>30.000000000000004</v>
      </c>
      <c r="W70">
        <f>(1-J70)*E5b!J70</f>
        <v>50</v>
      </c>
      <c r="X70">
        <f>(1-K70)*E5b!K70</f>
        <v>99.999999999999972</v>
      </c>
      <c r="Y70">
        <f>(1-L70)*E5b!L70</f>
        <v>150.00000000000003</v>
      </c>
      <c r="Z70">
        <f>(1-M70)*E5b!M70</f>
        <v>499.99999999999989</v>
      </c>
      <c r="AA70">
        <v>2</v>
      </c>
      <c r="AB70" s="3">
        <f>(E5b!C70-P70-(E5b!B70-O70))/(E5b!C70-E5b!B70)</f>
        <v>0</v>
      </c>
      <c r="AC70" s="69">
        <f>(E5b!D70-Q70-(E5b!C70-P70))/(E5b!D70-E5b!C70)</f>
        <v>1.25</v>
      </c>
      <c r="AD70" s="68">
        <f>(E5b!E70-R70-(E5b!D70-Q70))/(E5b!E70-E5b!D70)</f>
        <v>0.42500000000000027</v>
      </c>
      <c r="AE70" s="68">
        <f>(E5b!F70-S70-(E5b!E70-R70))/(E5b!F70-E5b!E70)</f>
        <v>0.63333333333333319</v>
      </c>
      <c r="AF70" s="68">
        <f>(E5b!G70-T70-(E5b!F70-S70))/(E5b!G70-E5b!F70)</f>
        <v>0.6</v>
      </c>
      <c r="AG70" s="3">
        <f>(E5b!H70-U70-(E5b!G70-T70))/(E5b!H70-E5b!G70)</f>
        <v>0.66666666666666663</v>
      </c>
      <c r="AH70" s="3">
        <f>(E5b!I70-V70-(E5b!H70-U70))/(E5b!I70-E5b!H70)</f>
        <v>0.8</v>
      </c>
      <c r="AI70" s="3">
        <f>(E5b!J70-W70-(E5b!I70-V70))/(E5b!J70-E5b!I70)</f>
        <v>0.8</v>
      </c>
      <c r="AJ70" s="3">
        <f>(E5b!K70-X70-(E5b!J70-W70))/(E5b!K70-E5b!J70)</f>
        <v>0.83333333333333337</v>
      </c>
      <c r="AK70" s="3">
        <f>(E5b!L70-Y70-(E5b!K70-X70))/(E5b!L70-E5b!K70)</f>
        <v>0.9</v>
      </c>
      <c r="AL70" s="3">
        <f>(E5b!M70-Z70-(E5b!L70-Y70))/(E5b!M70-E5b!L70)</f>
        <v>0.91249999999999998</v>
      </c>
    </row>
    <row r="71" spans="1:38" ht="15.75" customHeight="1" x14ac:dyDescent="0.25">
      <c r="A71" s="21">
        <v>2093</v>
      </c>
      <c r="B71" s="22">
        <f t="shared" si="37"/>
        <v>0</v>
      </c>
      <c r="C71" s="22">
        <f t="shared" si="38"/>
        <v>0</v>
      </c>
      <c r="D71" s="22">
        <f t="shared" si="39"/>
        <v>0.25</v>
      </c>
      <c r="E71" s="22">
        <f t="shared" si="40"/>
        <v>0.3</v>
      </c>
      <c r="F71" s="22">
        <f t="shared" si="41"/>
        <v>0.4</v>
      </c>
      <c r="G71" s="22">
        <f t="shared" si="42"/>
        <v>0.5</v>
      </c>
      <c r="H71" s="22">
        <f t="shared" si="43"/>
        <v>0.6</v>
      </c>
      <c r="I71" s="22">
        <f t="shared" si="44"/>
        <v>0.7</v>
      </c>
      <c r="J71" s="22">
        <f t="shared" si="45"/>
        <v>0.75</v>
      </c>
      <c r="K71" s="22">
        <f t="shared" si="46"/>
        <v>0.8</v>
      </c>
      <c r="L71" s="22">
        <f t="shared" si="47"/>
        <v>0.85</v>
      </c>
      <c r="M71" s="22">
        <f t="shared" si="48"/>
        <v>0.9</v>
      </c>
      <c r="N71" s="22"/>
      <c r="O71">
        <f>(1-B71)*E5b!B71</f>
        <v>3</v>
      </c>
      <c r="P71">
        <f>(1-C71)*E5b!C71</f>
        <v>4</v>
      </c>
      <c r="Q71">
        <f>(1-D71)*E5b!D71</f>
        <v>3.75</v>
      </c>
      <c r="R71">
        <f>(1-E71)*E5b!E71</f>
        <v>4.8999999999999995</v>
      </c>
      <c r="S71">
        <f>(1-F71)*E5b!F71</f>
        <v>6</v>
      </c>
      <c r="T71">
        <f>(1-G71)*E5b!G71</f>
        <v>10</v>
      </c>
      <c r="U71">
        <f>(1-H71)*E5b!H71</f>
        <v>20</v>
      </c>
      <c r="V71">
        <f>(1-I71)*E5b!I71</f>
        <v>30.000000000000004</v>
      </c>
      <c r="W71">
        <f>(1-J71)*E5b!J71</f>
        <v>50</v>
      </c>
      <c r="X71">
        <f>(1-K71)*E5b!K71</f>
        <v>99.999999999999972</v>
      </c>
      <c r="Y71">
        <f>(1-L71)*E5b!L71</f>
        <v>150.00000000000003</v>
      </c>
      <c r="Z71">
        <f>(1-M71)*E5b!M71</f>
        <v>499.99999999999989</v>
      </c>
      <c r="AA71">
        <v>2</v>
      </c>
      <c r="AB71" s="3">
        <f>(E5b!C71-P71-(E5b!B71-O71))/(E5b!C71-E5b!B71)</f>
        <v>0</v>
      </c>
      <c r="AC71" s="69">
        <f>(E5b!D71-Q71-(E5b!C71-P71))/(E5b!D71-E5b!C71)</f>
        <v>1.25</v>
      </c>
      <c r="AD71" s="68">
        <f>(E5b!E71-R71-(E5b!D71-Q71))/(E5b!E71-E5b!D71)</f>
        <v>0.42500000000000027</v>
      </c>
      <c r="AE71" s="68">
        <f>(E5b!F71-S71-(E5b!E71-R71))/(E5b!F71-E5b!E71)</f>
        <v>0.63333333333333319</v>
      </c>
      <c r="AF71" s="68">
        <f>(E5b!G71-T71-(E5b!F71-S71))/(E5b!G71-E5b!F71)</f>
        <v>0.6</v>
      </c>
      <c r="AG71" s="3">
        <f>(E5b!H71-U71-(E5b!G71-T71))/(E5b!H71-E5b!G71)</f>
        <v>0.66666666666666663</v>
      </c>
      <c r="AH71" s="3">
        <f>(E5b!I71-V71-(E5b!H71-U71))/(E5b!I71-E5b!H71)</f>
        <v>0.8</v>
      </c>
      <c r="AI71" s="3">
        <f>(E5b!J71-W71-(E5b!I71-V71))/(E5b!J71-E5b!I71)</f>
        <v>0.8</v>
      </c>
      <c r="AJ71" s="3">
        <f>(E5b!K71-X71-(E5b!J71-W71))/(E5b!K71-E5b!J71)</f>
        <v>0.83333333333333337</v>
      </c>
      <c r="AK71" s="3">
        <f>(E5b!L71-Y71-(E5b!K71-X71))/(E5b!L71-E5b!K71)</f>
        <v>0.9</v>
      </c>
      <c r="AL71" s="3">
        <f>(E5b!M71-Z71-(E5b!L71-Y71))/(E5b!M71-E5b!L71)</f>
        <v>0.91249999999999998</v>
      </c>
    </row>
    <row r="72" spans="1:38" ht="15.75" customHeight="1" x14ac:dyDescent="0.25">
      <c r="A72" s="21">
        <v>2094</v>
      </c>
      <c r="B72" s="22">
        <f t="shared" si="37"/>
        <v>0</v>
      </c>
      <c r="C72" s="22">
        <f t="shared" si="38"/>
        <v>0</v>
      </c>
      <c r="D72" s="22">
        <f t="shared" si="39"/>
        <v>0.25</v>
      </c>
      <c r="E72" s="22">
        <f t="shared" si="40"/>
        <v>0.3</v>
      </c>
      <c r="F72" s="22">
        <f t="shared" si="41"/>
        <v>0.4</v>
      </c>
      <c r="G72" s="22">
        <f t="shared" si="42"/>
        <v>0.5</v>
      </c>
      <c r="H72" s="22">
        <f t="shared" si="43"/>
        <v>0.6</v>
      </c>
      <c r="I72" s="22">
        <f t="shared" si="44"/>
        <v>0.7</v>
      </c>
      <c r="J72" s="22">
        <f t="shared" si="45"/>
        <v>0.75</v>
      </c>
      <c r="K72" s="22">
        <f t="shared" si="46"/>
        <v>0.8</v>
      </c>
      <c r="L72" s="22">
        <f t="shared" si="47"/>
        <v>0.85</v>
      </c>
      <c r="M72" s="22">
        <f t="shared" si="48"/>
        <v>0.9</v>
      </c>
      <c r="N72" s="22"/>
      <c r="O72">
        <f>(1-B72)*E5b!B72</f>
        <v>3</v>
      </c>
      <c r="P72">
        <f>(1-C72)*E5b!C72</f>
        <v>4</v>
      </c>
      <c r="Q72">
        <f>(1-D72)*E5b!D72</f>
        <v>3.75</v>
      </c>
      <c r="R72">
        <f>(1-E72)*E5b!E72</f>
        <v>4.8999999999999995</v>
      </c>
      <c r="S72">
        <f>(1-F72)*E5b!F72</f>
        <v>6</v>
      </c>
      <c r="T72">
        <f>(1-G72)*E5b!G72</f>
        <v>10</v>
      </c>
      <c r="U72">
        <f>(1-H72)*E5b!H72</f>
        <v>20</v>
      </c>
      <c r="V72">
        <f>(1-I72)*E5b!I72</f>
        <v>30.000000000000004</v>
      </c>
      <c r="W72">
        <f>(1-J72)*E5b!J72</f>
        <v>50</v>
      </c>
      <c r="X72">
        <f>(1-K72)*E5b!K72</f>
        <v>99.999999999999972</v>
      </c>
      <c r="Y72">
        <f>(1-L72)*E5b!L72</f>
        <v>150.00000000000003</v>
      </c>
      <c r="Z72">
        <f>(1-M72)*E5b!M72</f>
        <v>499.99999999999989</v>
      </c>
      <c r="AA72">
        <v>2</v>
      </c>
      <c r="AB72" s="3">
        <f>(E5b!C72-P72-(E5b!B72-O72))/(E5b!C72-E5b!B72)</f>
        <v>0</v>
      </c>
      <c r="AC72" s="69">
        <f>(E5b!D72-Q72-(E5b!C72-P72))/(E5b!D72-E5b!C72)</f>
        <v>1.25</v>
      </c>
      <c r="AD72" s="68">
        <f>(E5b!E72-R72-(E5b!D72-Q72))/(E5b!E72-E5b!D72)</f>
        <v>0.42500000000000027</v>
      </c>
      <c r="AE72" s="68">
        <f>(E5b!F72-S72-(E5b!E72-R72))/(E5b!F72-E5b!E72)</f>
        <v>0.63333333333333319</v>
      </c>
      <c r="AF72" s="68">
        <f>(E5b!G72-T72-(E5b!F72-S72))/(E5b!G72-E5b!F72)</f>
        <v>0.6</v>
      </c>
      <c r="AG72" s="3">
        <f>(E5b!H72-U72-(E5b!G72-T72))/(E5b!H72-E5b!G72)</f>
        <v>0.66666666666666663</v>
      </c>
      <c r="AH72" s="3">
        <f>(E5b!I72-V72-(E5b!H72-U72))/(E5b!I72-E5b!H72)</f>
        <v>0.8</v>
      </c>
      <c r="AI72" s="3">
        <f>(E5b!J72-W72-(E5b!I72-V72))/(E5b!J72-E5b!I72)</f>
        <v>0.8</v>
      </c>
      <c r="AJ72" s="3">
        <f>(E5b!K72-X72-(E5b!J72-W72))/(E5b!K72-E5b!J72)</f>
        <v>0.83333333333333337</v>
      </c>
      <c r="AK72" s="3">
        <f>(E5b!L72-Y72-(E5b!K72-X72))/(E5b!L72-E5b!K72)</f>
        <v>0.9</v>
      </c>
      <c r="AL72" s="3">
        <f>(E5b!M72-Z72-(E5b!L72-Y72))/(E5b!M72-E5b!L72)</f>
        <v>0.91249999999999998</v>
      </c>
    </row>
    <row r="73" spans="1:38" ht="15.75" customHeight="1" x14ac:dyDescent="0.25">
      <c r="A73" s="21">
        <v>2095</v>
      </c>
      <c r="B73" s="22">
        <f t="shared" si="37"/>
        <v>0</v>
      </c>
      <c r="C73" s="22">
        <f t="shared" si="38"/>
        <v>0</v>
      </c>
      <c r="D73" s="22">
        <f t="shared" si="39"/>
        <v>0.25</v>
      </c>
      <c r="E73" s="22">
        <f t="shared" si="40"/>
        <v>0.3</v>
      </c>
      <c r="F73" s="22">
        <f t="shared" si="41"/>
        <v>0.4</v>
      </c>
      <c r="G73" s="22">
        <f t="shared" si="42"/>
        <v>0.5</v>
      </c>
      <c r="H73" s="22">
        <f t="shared" si="43"/>
        <v>0.6</v>
      </c>
      <c r="I73" s="22">
        <f t="shared" si="44"/>
        <v>0.7</v>
      </c>
      <c r="J73" s="22">
        <f t="shared" si="45"/>
        <v>0.75</v>
      </c>
      <c r="K73" s="22">
        <f t="shared" si="46"/>
        <v>0.8</v>
      </c>
      <c r="L73" s="22">
        <f t="shared" si="47"/>
        <v>0.85</v>
      </c>
      <c r="M73" s="22">
        <f t="shared" si="48"/>
        <v>0.9</v>
      </c>
      <c r="N73" s="22"/>
      <c r="O73">
        <f>(1-B73)*E5b!B73</f>
        <v>3</v>
      </c>
      <c r="P73">
        <f>(1-C73)*E5b!C73</f>
        <v>4</v>
      </c>
      <c r="Q73">
        <f>(1-D73)*E5b!D73</f>
        <v>3.75</v>
      </c>
      <c r="R73">
        <f>(1-E73)*E5b!E73</f>
        <v>4.8999999999999995</v>
      </c>
      <c r="S73">
        <f>(1-F73)*E5b!F73</f>
        <v>6</v>
      </c>
      <c r="T73">
        <f>(1-G73)*E5b!G73</f>
        <v>10</v>
      </c>
      <c r="U73">
        <f>(1-H73)*E5b!H73</f>
        <v>20</v>
      </c>
      <c r="V73">
        <f>(1-I73)*E5b!I73</f>
        <v>30.000000000000004</v>
      </c>
      <c r="W73">
        <f>(1-J73)*E5b!J73</f>
        <v>50</v>
      </c>
      <c r="X73">
        <f>(1-K73)*E5b!K73</f>
        <v>99.999999999999972</v>
      </c>
      <c r="Y73">
        <f>(1-L73)*E5b!L73</f>
        <v>150.00000000000003</v>
      </c>
      <c r="Z73">
        <f>(1-M73)*E5b!M73</f>
        <v>499.99999999999989</v>
      </c>
      <c r="AA73">
        <v>2</v>
      </c>
      <c r="AB73" s="3">
        <f>(E5b!C73-P73-(E5b!B73-O73))/(E5b!C73-E5b!B73)</f>
        <v>0</v>
      </c>
      <c r="AC73" s="69">
        <f>(E5b!D73-Q73-(E5b!C73-P73))/(E5b!D73-E5b!C73)</f>
        <v>1.25</v>
      </c>
      <c r="AD73" s="68">
        <f>(E5b!E73-R73-(E5b!D73-Q73))/(E5b!E73-E5b!D73)</f>
        <v>0.42500000000000027</v>
      </c>
      <c r="AE73" s="68">
        <f>(E5b!F73-S73-(E5b!E73-R73))/(E5b!F73-E5b!E73)</f>
        <v>0.63333333333333319</v>
      </c>
      <c r="AF73" s="68">
        <f>(E5b!G73-T73-(E5b!F73-S73))/(E5b!G73-E5b!F73)</f>
        <v>0.6</v>
      </c>
      <c r="AG73" s="3">
        <f>(E5b!H73-U73-(E5b!G73-T73))/(E5b!H73-E5b!G73)</f>
        <v>0.66666666666666663</v>
      </c>
      <c r="AH73" s="3">
        <f>(E5b!I73-V73-(E5b!H73-U73))/(E5b!I73-E5b!H73)</f>
        <v>0.8</v>
      </c>
      <c r="AI73" s="3">
        <f>(E5b!J73-W73-(E5b!I73-V73))/(E5b!J73-E5b!I73)</f>
        <v>0.8</v>
      </c>
      <c r="AJ73" s="3">
        <f>(E5b!K73-X73-(E5b!J73-W73))/(E5b!K73-E5b!J73)</f>
        <v>0.83333333333333337</v>
      </c>
      <c r="AK73" s="3">
        <f>(E5b!L73-Y73-(E5b!K73-X73))/(E5b!L73-E5b!K73)</f>
        <v>0.9</v>
      </c>
      <c r="AL73" s="3">
        <f>(E5b!M73-Z73-(E5b!L73-Y73))/(E5b!M73-E5b!L73)</f>
        <v>0.91249999999999998</v>
      </c>
    </row>
    <row r="74" spans="1:38" ht="15.75" customHeight="1" x14ac:dyDescent="0.25">
      <c r="A74" s="21">
        <v>2096</v>
      </c>
      <c r="B74" s="22">
        <f t="shared" si="37"/>
        <v>0</v>
      </c>
      <c r="C74" s="22">
        <f t="shared" si="38"/>
        <v>0</v>
      </c>
      <c r="D74" s="22">
        <f t="shared" si="39"/>
        <v>0.25</v>
      </c>
      <c r="E74" s="22">
        <f t="shared" si="40"/>
        <v>0.3</v>
      </c>
      <c r="F74" s="22">
        <f t="shared" si="41"/>
        <v>0.4</v>
      </c>
      <c r="G74" s="22">
        <f t="shared" si="42"/>
        <v>0.5</v>
      </c>
      <c r="H74" s="22">
        <f t="shared" si="43"/>
        <v>0.6</v>
      </c>
      <c r="I74" s="22">
        <f t="shared" si="44"/>
        <v>0.7</v>
      </c>
      <c r="J74" s="22">
        <f t="shared" si="45"/>
        <v>0.75</v>
      </c>
      <c r="K74" s="22">
        <f t="shared" si="46"/>
        <v>0.8</v>
      </c>
      <c r="L74" s="22">
        <f t="shared" si="47"/>
        <v>0.85</v>
      </c>
      <c r="M74" s="22">
        <f t="shared" si="48"/>
        <v>0.9</v>
      </c>
      <c r="N74" s="22"/>
      <c r="O74">
        <f>(1-B74)*E5b!B74</f>
        <v>3</v>
      </c>
      <c r="P74">
        <f>(1-C74)*E5b!C74</f>
        <v>4</v>
      </c>
      <c r="Q74">
        <f>(1-D74)*E5b!D74</f>
        <v>3.75</v>
      </c>
      <c r="R74">
        <f>(1-E74)*E5b!E74</f>
        <v>4.8999999999999995</v>
      </c>
      <c r="S74">
        <f>(1-F74)*E5b!F74</f>
        <v>6</v>
      </c>
      <c r="T74">
        <f>(1-G74)*E5b!G74</f>
        <v>10</v>
      </c>
      <c r="U74">
        <f>(1-H74)*E5b!H74</f>
        <v>20</v>
      </c>
      <c r="V74">
        <f>(1-I74)*E5b!I74</f>
        <v>30.000000000000004</v>
      </c>
      <c r="W74">
        <f>(1-J74)*E5b!J74</f>
        <v>50</v>
      </c>
      <c r="X74">
        <f>(1-K74)*E5b!K74</f>
        <v>99.999999999999972</v>
      </c>
      <c r="Y74">
        <f>(1-L74)*E5b!L74</f>
        <v>150.00000000000003</v>
      </c>
      <c r="Z74">
        <f>(1-M74)*E5b!M74</f>
        <v>499.99999999999989</v>
      </c>
      <c r="AA74">
        <v>2</v>
      </c>
      <c r="AB74" s="3">
        <f>(E5b!C74-P74-(E5b!B74-O74))/(E5b!C74-E5b!B74)</f>
        <v>0</v>
      </c>
      <c r="AC74" s="69">
        <f>(E5b!D74-Q74-(E5b!C74-P74))/(E5b!D74-E5b!C74)</f>
        <v>1.25</v>
      </c>
      <c r="AD74" s="68">
        <f>(E5b!E74-R74-(E5b!D74-Q74))/(E5b!E74-E5b!D74)</f>
        <v>0.42500000000000027</v>
      </c>
      <c r="AE74" s="68">
        <f>(E5b!F74-S74-(E5b!E74-R74))/(E5b!F74-E5b!E74)</f>
        <v>0.63333333333333319</v>
      </c>
      <c r="AF74" s="68">
        <f>(E5b!G74-T74-(E5b!F74-S74))/(E5b!G74-E5b!F74)</f>
        <v>0.6</v>
      </c>
      <c r="AG74" s="3">
        <f>(E5b!H74-U74-(E5b!G74-T74))/(E5b!H74-E5b!G74)</f>
        <v>0.66666666666666663</v>
      </c>
      <c r="AH74" s="3">
        <f>(E5b!I74-V74-(E5b!H74-U74))/(E5b!I74-E5b!H74)</f>
        <v>0.8</v>
      </c>
      <c r="AI74" s="3">
        <f>(E5b!J74-W74-(E5b!I74-V74))/(E5b!J74-E5b!I74)</f>
        <v>0.8</v>
      </c>
      <c r="AJ74" s="3">
        <f>(E5b!K74-X74-(E5b!J74-W74))/(E5b!K74-E5b!J74)</f>
        <v>0.83333333333333337</v>
      </c>
      <c r="AK74" s="3">
        <f>(E5b!L74-Y74-(E5b!K74-X74))/(E5b!L74-E5b!K74)</f>
        <v>0.9</v>
      </c>
      <c r="AL74" s="3">
        <f>(E5b!M74-Z74-(E5b!L74-Y74))/(E5b!M74-E5b!L74)</f>
        <v>0.91249999999999998</v>
      </c>
    </row>
    <row r="75" spans="1:38" ht="15.75" customHeight="1" x14ac:dyDescent="0.25">
      <c r="A75" s="21">
        <v>2097</v>
      </c>
      <c r="B75" s="22">
        <f t="shared" si="37"/>
        <v>0</v>
      </c>
      <c r="C75" s="22">
        <f t="shared" si="38"/>
        <v>0</v>
      </c>
      <c r="D75" s="22">
        <f t="shared" si="39"/>
        <v>0.25</v>
      </c>
      <c r="E75" s="22">
        <f t="shared" si="40"/>
        <v>0.3</v>
      </c>
      <c r="F75" s="22">
        <f t="shared" si="41"/>
        <v>0.4</v>
      </c>
      <c r="G75" s="22">
        <f t="shared" si="42"/>
        <v>0.5</v>
      </c>
      <c r="H75" s="22">
        <f t="shared" si="43"/>
        <v>0.6</v>
      </c>
      <c r="I75" s="22">
        <f t="shared" si="44"/>
        <v>0.7</v>
      </c>
      <c r="J75" s="22">
        <f t="shared" si="45"/>
        <v>0.75</v>
      </c>
      <c r="K75" s="22">
        <f t="shared" si="46"/>
        <v>0.8</v>
      </c>
      <c r="L75" s="22">
        <f t="shared" si="47"/>
        <v>0.85</v>
      </c>
      <c r="M75" s="22">
        <f t="shared" si="48"/>
        <v>0.9</v>
      </c>
      <c r="N75" s="22"/>
      <c r="O75">
        <f>(1-B75)*E5b!B75</f>
        <v>3</v>
      </c>
      <c r="P75">
        <f>(1-C75)*E5b!C75</f>
        <v>4</v>
      </c>
      <c r="Q75">
        <f>(1-D75)*E5b!D75</f>
        <v>3.75</v>
      </c>
      <c r="R75">
        <f>(1-E75)*E5b!E75</f>
        <v>4.8999999999999995</v>
      </c>
      <c r="S75">
        <f>(1-F75)*E5b!F75</f>
        <v>6</v>
      </c>
      <c r="T75">
        <f>(1-G75)*E5b!G75</f>
        <v>10</v>
      </c>
      <c r="U75">
        <f>(1-H75)*E5b!H75</f>
        <v>20</v>
      </c>
      <c r="V75">
        <f>(1-I75)*E5b!I75</f>
        <v>30.000000000000004</v>
      </c>
      <c r="W75">
        <f>(1-J75)*E5b!J75</f>
        <v>50</v>
      </c>
      <c r="X75">
        <f>(1-K75)*E5b!K75</f>
        <v>99.999999999999972</v>
      </c>
      <c r="Y75">
        <f>(1-L75)*E5b!L75</f>
        <v>150.00000000000003</v>
      </c>
      <c r="Z75">
        <f>(1-M75)*E5b!M75</f>
        <v>499.99999999999989</v>
      </c>
      <c r="AA75">
        <v>2</v>
      </c>
      <c r="AB75" s="3">
        <f>(E5b!C75-P75-(E5b!B75-O75))/(E5b!C75-E5b!B75)</f>
        <v>0</v>
      </c>
      <c r="AC75" s="69">
        <f>(E5b!D75-Q75-(E5b!C75-P75))/(E5b!D75-E5b!C75)</f>
        <v>1.25</v>
      </c>
      <c r="AD75" s="68">
        <f>(E5b!E75-R75-(E5b!D75-Q75))/(E5b!E75-E5b!D75)</f>
        <v>0.42500000000000027</v>
      </c>
      <c r="AE75" s="68">
        <f>(E5b!F75-S75-(E5b!E75-R75))/(E5b!F75-E5b!E75)</f>
        <v>0.63333333333333319</v>
      </c>
      <c r="AF75" s="68">
        <f>(E5b!G75-T75-(E5b!F75-S75))/(E5b!G75-E5b!F75)</f>
        <v>0.6</v>
      </c>
      <c r="AG75" s="3">
        <f>(E5b!H75-U75-(E5b!G75-T75))/(E5b!H75-E5b!G75)</f>
        <v>0.66666666666666663</v>
      </c>
      <c r="AH75" s="3">
        <f>(E5b!I75-V75-(E5b!H75-U75))/(E5b!I75-E5b!H75)</f>
        <v>0.8</v>
      </c>
      <c r="AI75" s="3">
        <f>(E5b!J75-W75-(E5b!I75-V75))/(E5b!J75-E5b!I75)</f>
        <v>0.8</v>
      </c>
      <c r="AJ75" s="3">
        <f>(E5b!K75-X75-(E5b!J75-W75))/(E5b!K75-E5b!J75)</f>
        <v>0.83333333333333337</v>
      </c>
      <c r="AK75" s="3">
        <f>(E5b!L75-Y75-(E5b!K75-X75))/(E5b!L75-E5b!K75)</f>
        <v>0.9</v>
      </c>
      <c r="AL75" s="3">
        <f>(E5b!M75-Z75-(E5b!L75-Y75))/(E5b!M75-E5b!L75)</f>
        <v>0.91249999999999998</v>
      </c>
    </row>
    <row r="76" spans="1:38" ht="15.75" customHeight="1" x14ac:dyDescent="0.25">
      <c r="A76" s="21">
        <v>2098</v>
      </c>
      <c r="B76" s="22">
        <f t="shared" si="37"/>
        <v>0</v>
      </c>
      <c r="C76" s="22">
        <f t="shared" si="38"/>
        <v>0</v>
      </c>
      <c r="D76" s="22">
        <f t="shared" si="39"/>
        <v>0.25</v>
      </c>
      <c r="E76" s="22">
        <f t="shared" si="40"/>
        <v>0.3</v>
      </c>
      <c r="F76" s="22">
        <f t="shared" si="41"/>
        <v>0.4</v>
      </c>
      <c r="G76" s="22">
        <f t="shared" si="42"/>
        <v>0.5</v>
      </c>
      <c r="H76" s="22">
        <f t="shared" si="43"/>
        <v>0.6</v>
      </c>
      <c r="I76" s="22">
        <f t="shared" si="44"/>
        <v>0.7</v>
      </c>
      <c r="J76" s="22">
        <f t="shared" si="45"/>
        <v>0.75</v>
      </c>
      <c r="K76" s="22">
        <f t="shared" si="46"/>
        <v>0.8</v>
      </c>
      <c r="L76" s="22">
        <f t="shared" si="47"/>
        <v>0.85</v>
      </c>
      <c r="M76" s="22">
        <f t="shared" si="48"/>
        <v>0.9</v>
      </c>
      <c r="N76" s="22"/>
      <c r="O76">
        <f>(1-B76)*E5b!B76</f>
        <v>3</v>
      </c>
      <c r="P76">
        <f>(1-C76)*E5b!C76</f>
        <v>4</v>
      </c>
      <c r="Q76">
        <f>(1-D76)*E5b!D76</f>
        <v>3.75</v>
      </c>
      <c r="R76">
        <f>(1-E76)*E5b!E76</f>
        <v>4.8999999999999995</v>
      </c>
      <c r="S76">
        <f>(1-F76)*E5b!F76</f>
        <v>6</v>
      </c>
      <c r="T76">
        <f>(1-G76)*E5b!G76</f>
        <v>10</v>
      </c>
      <c r="U76">
        <f>(1-H76)*E5b!H76</f>
        <v>20</v>
      </c>
      <c r="V76">
        <f>(1-I76)*E5b!I76</f>
        <v>30.000000000000004</v>
      </c>
      <c r="W76">
        <f>(1-J76)*E5b!J76</f>
        <v>50</v>
      </c>
      <c r="X76">
        <f>(1-K76)*E5b!K76</f>
        <v>99.999999999999972</v>
      </c>
      <c r="Y76">
        <f>(1-L76)*E5b!L76</f>
        <v>150.00000000000003</v>
      </c>
      <c r="Z76">
        <f>(1-M76)*E5b!M76</f>
        <v>499.99999999999989</v>
      </c>
      <c r="AA76">
        <v>2</v>
      </c>
      <c r="AB76" s="3">
        <f>(E5b!C76-P76-(E5b!B76-O76))/(E5b!C76-E5b!B76)</f>
        <v>0</v>
      </c>
      <c r="AC76" s="69">
        <f>(E5b!D76-Q76-(E5b!C76-P76))/(E5b!D76-E5b!C76)</f>
        <v>1.25</v>
      </c>
      <c r="AD76" s="68">
        <f>(E5b!E76-R76-(E5b!D76-Q76))/(E5b!E76-E5b!D76)</f>
        <v>0.42500000000000027</v>
      </c>
      <c r="AE76" s="68">
        <f>(E5b!F76-S76-(E5b!E76-R76))/(E5b!F76-E5b!E76)</f>
        <v>0.63333333333333319</v>
      </c>
      <c r="AF76" s="68">
        <f>(E5b!G76-T76-(E5b!F76-S76))/(E5b!G76-E5b!F76)</f>
        <v>0.6</v>
      </c>
      <c r="AG76" s="3">
        <f>(E5b!H76-U76-(E5b!G76-T76))/(E5b!H76-E5b!G76)</f>
        <v>0.66666666666666663</v>
      </c>
      <c r="AH76" s="3">
        <f>(E5b!I76-V76-(E5b!H76-U76))/(E5b!I76-E5b!H76)</f>
        <v>0.8</v>
      </c>
      <c r="AI76" s="3">
        <f>(E5b!J76-W76-(E5b!I76-V76))/(E5b!J76-E5b!I76)</f>
        <v>0.8</v>
      </c>
      <c r="AJ76" s="3">
        <f>(E5b!K76-X76-(E5b!J76-W76))/(E5b!K76-E5b!J76)</f>
        <v>0.83333333333333337</v>
      </c>
      <c r="AK76" s="3">
        <f>(E5b!L76-Y76-(E5b!K76-X76))/(E5b!L76-E5b!K76)</f>
        <v>0.9</v>
      </c>
      <c r="AL76" s="3">
        <f>(E5b!M76-Z76-(E5b!L76-Y76))/(E5b!M76-E5b!L76)</f>
        <v>0.91249999999999998</v>
      </c>
    </row>
    <row r="77" spans="1:38" ht="15.75" customHeight="1" x14ac:dyDescent="0.25">
      <c r="A77" s="21">
        <v>2099</v>
      </c>
      <c r="B77" s="22">
        <f t="shared" si="37"/>
        <v>0</v>
      </c>
      <c r="C77" s="22">
        <f t="shared" si="38"/>
        <v>0</v>
      </c>
      <c r="D77" s="22">
        <f t="shared" si="39"/>
        <v>0.25</v>
      </c>
      <c r="E77" s="22">
        <f t="shared" si="40"/>
        <v>0.3</v>
      </c>
      <c r="F77" s="22">
        <f t="shared" si="41"/>
        <v>0.4</v>
      </c>
      <c r="G77" s="22">
        <f t="shared" si="42"/>
        <v>0.5</v>
      </c>
      <c r="H77" s="22">
        <f t="shared" si="43"/>
        <v>0.6</v>
      </c>
      <c r="I77" s="22">
        <f t="shared" si="44"/>
        <v>0.7</v>
      </c>
      <c r="J77" s="22">
        <f t="shared" si="45"/>
        <v>0.75</v>
      </c>
      <c r="K77" s="22">
        <f t="shared" si="46"/>
        <v>0.8</v>
      </c>
      <c r="L77" s="22">
        <f t="shared" si="47"/>
        <v>0.85</v>
      </c>
      <c r="M77" s="22">
        <f t="shared" si="48"/>
        <v>0.9</v>
      </c>
      <c r="N77" s="22"/>
      <c r="O77">
        <f>(1-B77)*E5b!B77</f>
        <v>3</v>
      </c>
      <c r="P77">
        <f>(1-C77)*E5b!C77</f>
        <v>4</v>
      </c>
      <c r="Q77">
        <f>(1-D77)*E5b!D77</f>
        <v>3.75</v>
      </c>
      <c r="R77">
        <f>(1-E77)*E5b!E77</f>
        <v>4.8999999999999995</v>
      </c>
      <c r="S77">
        <f>(1-F77)*E5b!F77</f>
        <v>6</v>
      </c>
      <c r="T77">
        <f>(1-G77)*E5b!G77</f>
        <v>10</v>
      </c>
      <c r="U77">
        <f>(1-H77)*E5b!H77</f>
        <v>20</v>
      </c>
      <c r="V77">
        <f>(1-I77)*E5b!I77</f>
        <v>30.000000000000004</v>
      </c>
      <c r="W77">
        <f>(1-J77)*E5b!J77</f>
        <v>50</v>
      </c>
      <c r="X77">
        <f>(1-K77)*E5b!K77</f>
        <v>99.999999999999972</v>
      </c>
      <c r="Y77">
        <f>(1-L77)*E5b!L77</f>
        <v>150.00000000000003</v>
      </c>
      <c r="Z77">
        <f>(1-M77)*E5b!M77</f>
        <v>499.99999999999989</v>
      </c>
      <c r="AA77">
        <v>2</v>
      </c>
      <c r="AB77" s="3">
        <f>(E5b!C77-P77-(E5b!B77-O77))/(E5b!C77-E5b!B77)</f>
        <v>0</v>
      </c>
      <c r="AC77" s="69">
        <f>(E5b!D77-Q77-(E5b!C77-P77))/(E5b!D77-E5b!C77)</f>
        <v>1.25</v>
      </c>
      <c r="AD77" s="68">
        <f>(E5b!E77-R77-(E5b!D77-Q77))/(E5b!E77-E5b!D77)</f>
        <v>0.42500000000000027</v>
      </c>
      <c r="AE77" s="68">
        <f>(E5b!F77-S77-(E5b!E77-R77))/(E5b!F77-E5b!E77)</f>
        <v>0.63333333333333319</v>
      </c>
      <c r="AF77" s="68">
        <f>(E5b!G77-T77-(E5b!F77-S77))/(E5b!G77-E5b!F77)</f>
        <v>0.6</v>
      </c>
      <c r="AG77" s="3">
        <f>(E5b!H77-U77-(E5b!G77-T77))/(E5b!H77-E5b!G77)</f>
        <v>0.66666666666666663</v>
      </c>
      <c r="AH77" s="3">
        <f>(E5b!I77-V77-(E5b!H77-U77))/(E5b!I77-E5b!H77)</f>
        <v>0.8</v>
      </c>
      <c r="AI77" s="3">
        <f>(E5b!J77-W77-(E5b!I77-V77))/(E5b!J77-E5b!I77)</f>
        <v>0.8</v>
      </c>
      <c r="AJ77" s="3">
        <f>(E5b!K77-X77-(E5b!J77-W77))/(E5b!K77-E5b!J77)</f>
        <v>0.83333333333333337</v>
      </c>
      <c r="AK77" s="3">
        <f>(E5b!L77-Y77-(E5b!K77-X77))/(E5b!L77-E5b!K77)</f>
        <v>0.9</v>
      </c>
      <c r="AL77" s="3">
        <f>(E5b!M77-Z77-(E5b!L77-Y77))/(E5b!M77-E5b!L77)</f>
        <v>0.91249999999999998</v>
      </c>
    </row>
    <row r="78" spans="1:38" ht="15.75" customHeight="1" x14ac:dyDescent="0.25">
      <c r="A78" s="21">
        <v>2100</v>
      </c>
      <c r="B78" s="30">
        <v>0</v>
      </c>
      <c r="C78" s="30">
        <v>0</v>
      </c>
      <c r="D78" s="30">
        <v>0.25</v>
      </c>
      <c r="E78" s="30">
        <v>0.3</v>
      </c>
      <c r="F78" s="30">
        <v>0.4</v>
      </c>
      <c r="G78" s="30">
        <v>0.5</v>
      </c>
      <c r="H78" s="30">
        <v>0.6</v>
      </c>
      <c r="I78" s="30">
        <v>0.7</v>
      </c>
      <c r="J78" s="30">
        <v>0.75</v>
      </c>
      <c r="K78" s="30">
        <v>0.8</v>
      </c>
      <c r="L78" s="30">
        <v>0.85</v>
      </c>
      <c r="M78" s="30">
        <v>0.9</v>
      </c>
      <c r="N78" s="30"/>
      <c r="O78">
        <f>(1-B78)*E5b!B78</f>
        <v>3</v>
      </c>
      <c r="P78">
        <f>(1-C78)*E5b!C78</f>
        <v>4</v>
      </c>
      <c r="Q78">
        <f>(1-D78)*E5b!D78</f>
        <v>3.75</v>
      </c>
      <c r="R78">
        <f>(1-E78)*E5b!E78</f>
        <v>4.8999999999999995</v>
      </c>
      <c r="S78">
        <f>(1-F78)*E5b!F78</f>
        <v>6</v>
      </c>
      <c r="T78">
        <f>(1-G78)*E5b!G78</f>
        <v>10</v>
      </c>
      <c r="U78">
        <f>(1-H78)*E5b!H78</f>
        <v>20</v>
      </c>
      <c r="V78">
        <f>(1-I78)*E5b!I78</f>
        <v>30.000000000000004</v>
      </c>
      <c r="W78">
        <f>(1-J78)*E5b!J78</f>
        <v>50</v>
      </c>
      <c r="X78">
        <f>(1-K78)*E5b!K78</f>
        <v>99.999999999999972</v>
      </c>
      <c r="Y78">
        <f>(1-L78)*E5b!L78</f>
        <v>150.00000000000003</v>
      </c>
      <c r="Z78">
        <f>(1-M78)*E5b!M78</f>
        <v>499.99999999999989</v>
      </c>
      <c r="AA78">
        <v>2</v>
      </c>
      <c r="AB78" s="3">
        <f>(E5b!C78-P78-(E5b!B78-O78))/(E5b!C78-E5b!B78)</f>
        <v>0</v>
      </c>
      <c r="AC78" s="69">
        <f>(E5b!D78-Q78-(E5b!C78-P78))/(E5b!D78-E5b!C78)</f>
        <v>1.25</v>
      </c>
      <c r="AD78" s="68">
        <f>(E5b!E78-R78-(E5b!D78-Q78))/(E5b!E78-E5b!D78)</f>
        <v>0.42500000000000027</v>
      </c>
      <c r="AE78" s="68">
        <f>(E5b!F78-S78-(E5b!E78-R78))/(E5b!F78-E5b!E78)</f>
        <v>0.63333333333333319</v>
      </c>
      <c r="AF78" s="68">
        <f>(E5b!G78-T78-(E5b!F78-S78))/(E5b!G78-E5b!F78)</f>
        <v>0.6</v>
      </c>
      <c r="AG78" s="3">
        <f>(E5b!H78-U78-(E5b!G78-T78))/(E5b!H78-E5b!G78)</f>
        <v>0.66666666666666663</v>
      </c>
      <c r="AH78" s="3">
        <f>(E5b!I78-V78-(E5b!H78-U78))/(E5b!I78-E5b!H78)</f>
        <v>0.8</v>
      </c>
      <c r="AI78" s="3">
        <f>(E5b!J78-W78-(E5b!I78-V78))/(E5b!J78-E5b!I78)</f>
        <v>0.8</v>
      </c>
      <c r="AJ78" s="3">
        <f>(E5b!K78-X78-(E5b!J78-W78))/(E5b!K78-E5b!J78)</f>
        <v>0.83333333333333337</v>
      </c>
      <c r="AK78" s="3">
        <f>(E5b!L78-Y78-(E5b!K78-X78))/(E5b!L78-E5b!K78)</f>
        <v>0.9</v>
      </c>
      <c r="AL78" s="3">
        <f>(E5b!M78-Z78-(E5b!L78-Y78))/(E5b!M78-E5b!L78)</f>
        <v>0.91249999999999998</v>
      </c>
    </row>
    <row r="79" spans="1:38" ht="15.75" customHeight="1" x14ac:dyDescent="0.25">
      <c r="D79" s="3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1F955"/>
  </sheetPr>
  <dimension ref="A1:N78"/>
  <sheetViews>
    <sheetView workbookViewId="0">
      <pane xSplit="1" ySplit="3" topLeftCell="B49" activePane="bottomRight" state="frozen"/>
      <selection activeCell="C4" sqref="C4"/>
      <selection pane="topRight" activeCell="C4" sqref="C4"/>
      <selection pane="bottomLeft" activeCell="C4" sqref="C4"/>
      <selection pane="bottomRight" activeCell="B4" sqref="B4:M78"/>
    </sheetView>
  </sheetViews>
  <sheetFormatPr baseColWidth="10" defaultColWidth="11.42578125" defaultRowHeight="15" x14ac:dyDescent="0.25"/>
  <cols>
    <col min="1" max="1" width="15" customWidth="1"/>
    <col min="2" max="2" width="12.7109375" customWidth="1"/>
  </cols>
  <sheetData>
    <row r="1" spans="1:14" ht="15.75" customHeight="1" x14ac:dyDescent="0.25">
      <c r="A1" s="1" t="s">
        <v>17</v>
      </c>
      <c r="B1" s="1"/>
      <c r="C1" s="1"/>
      <c r="D1" s="1"/>
      <c r="E1" s="1"/>
      <c r="F1" s="1"/>
      <c r="G1" s="1"/>
      <c r="H1" s="1"/>
      <c r="I1" s="1"/>
      <c r="J1" s="1"/>
      <c r="K1" s="1"/>
      <c r="L1" s="1"/>
      <c r="M1" s="1"/>
      <c r="N1" s="1"/>
    </row>
    <row r="2" spans="1:14" ht="15.75" customHeight="1" x14ac:dyDescent="0.25">
      <c r="A2" s="1"/>
      <c r="B2" s="1"/>
      <c r="C2" s="1"/>
      <c r="D2" s="1"/>
      <c r="E2" s="1"/>
      <c r="F2" s="1"/>
      <c r="G2" s="1"/>
      <c r="H2" s="1"/>
      <c r="I2" s="1"/>
      <c r="J2" s="1"/>
      <c r="K2" s="1"/>
      <c r="L2" s="1"/>
      <c r="M2" s="1"/>
      <c r="N2" s="1"/>
    </row>
    <row r="3" spans="1:14" ht="15.75" customHeight="1" x14ac:dyDescent="0.25">
      <c r="A3" s="21" t="s">
        <v>18</v>
      </c>
      <c r="B3" s="21" t="s">
        <v>19</v>
      </c>
      <c r="C3" s="21" t="s">
        <v>20</v>
      </c>
      <c r="D3" s="21" t="s">
        <v>21</v>
      </c>
      <c r="E3" s="21" t="s">
        <v>22</v>
      </c>
      <c r="F3" s="21" t="s">
        <v>23</v>
      </c>
      <c r="G3" s="21" t="s">
        <v>24</v>
      </c>
      <c r="H3" s="21" t="s">
        <v>25</v>
      </c>
      <c r="I3" s="21" t="s">
        <v>26</v>
      </c>
      <c r="J3" s="21" t="s">
        <v>27</v>
      </c>
      <c r="K3" s="21" t="s">
        <v>28</v>
      </c>
      <c r="L3" s="21" t="s">
        <v>29</v>
      </c>
      <c r="M3" s="21" t="s">
        <v>30</v>
      </c>
      <c r="N3" s="1"/>
    </row>
    <row r="4" spans="1:14" ht="15.75" customHeight="1" x14ac:dyDescent="0.25">
      <c r="A4" s="21">
        <v>2026</v>
      </c>
      <c r="B4" s="80">
        <f>TE4f!$A7</f>
        <v>5</v>
      </c>
      <c r="C4" s="80">
        <f>TE4f!$A8</f>
        <v>8</v>
      </c>
      <c r="D4" s="80">
        <f>TE4f!$A9</f>
        <v>10</v>
      </c>
      <c r="E4" s="80">
        <f>TE4f!$A10</f>
        <v>12</v>
      </c>
      <c r="F4" s="80">
        <f>TE4f!$A11</f>
        <v>15</v>
      </c>
      <c r="G4" s="80">
        <f>TE4f!$A12</f>
        <v>20</v>
      </c>
      <c r="H4" s="80">
        <f>TE4f!$A13</f>
        <v>50</v>
      </c>
      <c r="I4" s="80">
        <f>TE4f!$A14</f>
        <v>100</v>
      </c>
      <c r="J4" s="80">
        <f>TE4f!$A15</f>
        <v>200</v>
      </c>
      <c r="K4" s="80">
        <f>TE4f!$A16</f>
        <v>500</v>
      </c>
      <c r="L4" s="80">
        <f>TE4f!$A17</f>
        <v>1000</v>
      </c>
      <c r="M4" s="80">
        <f>TE4f!$A18</f>
        <v>5000</v>
      </c>
      <c r="N4" s="1"/>
    </row>
    <row r="5" spans="1:14" ht="15.75" customHeight="1" x14ac:dyDescent="0.25">
      <c r="A5" s="21">
        <v>2027</v>
      </c>
      <c r="B5" s="78">
        <f t="shared" ref="B5:M12" si="0">B4+(B$13-B$4)/9</f>
        <v>5</v>
      </c>
      <c r="C5" s="78">
        <f t="shared" si="0"/>
        <v>8</v>
      </c>
      <c r="D5" s="78">
        <f t="shared" si="0"/>
        <v>10</v>
      </c>
      <c r="E5" s="78">
        <f t="shared" si="0"/>
        <v>12</v>
      </c>
      <c r="F5" s="78">
        <f t="shared" si="0"/>
        <v>15</v>
      </c>
      <c r="G5" s="78">
        <f t="shared" si="0"/>
        <v>20</v>
      </c>
      <c r="H5" s="78">
        <f t="shared" si="0"/>
        <v>50</v>
      </c>
      <c r="I5" s="78">
        <f t="shared" si="0"/>
        <v>100</v>
      </c>
      <c r="J5" s="78">
        <f t="shared" si="0"/>
        <v>200</v>
      </c>
      <c r="K5" s="78">
        <f t="shared" si="0"/>
        <v>500</v>
      </c>
      <c r="L5" s="78">
        <f t="shared" si="0"/>
        <v>1000</v>
      </c>
      <c r="M5" s="78">
        <f t="shared" si="0"/>
        <v>5000</v>
      </c>
      <c r="N5" s="1"/>
    </row>
    <row r="6" spans="1:14" ht="15.75" customHeight="1" x14ac:dyDescent="0.25">
      <c r="A6" s="21">
        <v>2028</v>
      </c>
      <c r="B6" s="78">
        <f t="shared" si="0"/>
        <v>5</v>
      </c>
      <c r="C6" s="78">
        <f t="shared" si="0"/>
        <v>8</v>
      </c>
      <c r="D6" s="78">
        <f t="shared" si="0"/>
        <v>10</v>
      </c>
      <c r="E6" s="78">
        <f t="shared" si="0"/>
        <v>12</v>
      </c>
      <c r="F6" s="78">
        <f t="shared" si="0"/>
        <v>15</v>
      </c>
      <c r="G6" s="78">
        <f t="shared" si="0"/>
        <v>20</v>
      </c>
      <c r="H6" s="78">
        <f t="shared" si="0"/>
        <v>50</v>
      </c>
      <c r="I6" s="78">
        <f t="shared" si="0"/>
        <v>100</v>
      </c>
      <c r="J6" s="78">
        <f t="shared" si="0"/>
        <v>200</v>
      </c>
      <c r="K6" s="78">
        <f t="shared" si="0"/>
        <v>500</v>
      </c>
      <c r="L6" s="78">
        <f t="shared" si="0"/>
        <v>1000</v>
      </c>
      <c r="M6" s="78">
        <f t="shared" si="0"/>
        <v>5000</v>
      </c>
      <c r="N6" s="1"/>
    </row>
    <row r="7" spans="1:14" ht="15.75" customHeight="1" x14ac:dyDescent="0.25">
      <c r="A7" s="21">
        <v>2029</v>
      </c>
      <c r="B7" s="78">
        <f t="shared" si="0"/>
        <v>5</v>
      </c>
      <c r="C7" s="78">
        <f t="shared" si="0"/>
        <v>8</v>
      </c>
      <c r="D7" s="78">
        <f t="shared" si="0"/>
        <v>10</v>
      </c>
      <c r="E7" s="78">
        <f t="shared" si="0"/>
        <v>12</v>
      </c>
      <c r="F7" s="78">
        <f t="shared" si="0"/>
        <v>15</v>
      </c>
      <c r="G7" s="78">
        <f t="shared" si="0"/>
        <v>20</v>
      </c>
      <c r="H7" s="78">
        <f t="shared" si="0"/>
        <v>50</v>
      </c>
      <c r="I7" s="78">
        <f t="shared" si="0"/>
        <v>100</v>
      </c>
      <c r="J7" s="78">
        <f t="shared" si="0"/>
        <v>200</v>
      </c>
      <c r="K7" s="78">
        <f t="shared" si="0"/>
        <v>500</v>
      </c>
      <c r="L7" s="78">
        <f t="shared" si="0"/>
        <v>1000</v>
      </c>
      <c r="M7" s="78">
        <f t="shared" si="0"/>
        <v>5000</v>
      </c>
      <c r="N7" s="1"/>
    </row>
    <row r="8" spans="1:14" ht="15.75" customHeight="1" x14ac:dyDescent="0.25">
      <c r="A8" s="21">
        <v>2030</v>
      </c>
      <c r="B8" s="78">
        <f t="shared" si="0"/>
        <v>5</v>
      </c>
      <c r="C8" s="78">
        <f t="shared" si="0"/>
        <v>8</v>
      </c>
      <c r="D8" s="78">
        <f t="shared" si="0"/>
        <v>10</v>
      </c>
      <c r="E8" s="78">
        <f t="shared" si="0"/>
        <v>12</v>
      </c>
      <c r="F8" s="78">
        <f t="shared" si="0"/>
        <v>15</v>
      </c>
      <c r="G8" s="78">
        <f t="shared" si="0"/>
        <v>20</v>
      </c>
      <c r="H8" s="78">
        <f t="shared" si="0"/>
        <v>50</v>
      </c>
      <c r="I8" s="78">
        <f t="shared" si="0"/>
        <v>100</v>
      </c>
      <c r="J8" s="78">
        <f t="shared" si="0"/>
        <v>200</v>
      </c>
      <c r="K8" s="78">
        <f t="shared" si="0"/>
        <v>500</v>
      </c>
      <c r="L8" s="78">
        <f t="shared" si="0"/>
        <v>1000</v>
      </c>
      <c r="M8" s="78">
        <f t="shared" si="0"/>
        <v>5000</v>
      </c>
      <c r="N8" s="1"/>
    </row>
    <row r="9" spans="1:14" ht="15.75" customHeight="1" x14ac:dyDescent="0.25">
      <c r="A9" s="21">
        <v>2031</v>
      </c>
      <c r="B9" s="78">
        <f t="shared" si="0"/>
        <v>5</v>
      </c>
      <c r="C9" s="78">
        <f t="shared" si="0"/>
        <v>8</v>
      </c>
      <c r="D9" s="78">
        <f t="shared" si="0"/>
        <v>10</v>
      </c>
      <c r="E9" s="78">
        <f t="shared" si="0"/>
        <v>12</v>
      </c>
      <c r="F9" s="78">
        <f t="shared" si="0"/>
        <v>15</v>
      </c>
      <c r="G9" s="78">
        <f t="shared" si="0"/>
        <v>20</v>
      </c>
      <c r="H9" s="78">
        <f t="shared" si="0"/>
        <v>50</v>
      </c>
      <c r="I9" s="78">
        <f t="shared" si="0"/>
        <v>100</v>
      </c>
      <c r="J9" s="78">
        <f t="shared" si="0"/>
        <v>200</v>
      </c>
      <c r="K9" s="78">
        <f t="shared" si="0"/>
        <v>500</v>
      </c>
      <c r="L9" s="78">
        <f t="shared" si="0"/>
        <v>1000</v>
      </c>
      <c r="M9" s="78">
        <f t="shared" si="0"/>
        <v>5000</v>
      </c>
      <c r="N9" s="1"/>
    </row>
    <row r="10" spans="1:14" ht="15.75" customHeight="1" x14ac:dyDescent="0.25">
      <c r="A10" s="21">
        <v>2032</v>
      </c>
      <c r="B10" s="78">
        <f t="shared" si="0"/>
        <v>5</v>
      </c>
      <c r="C10" s="78">
        <f t="shared" si="0"/>
        <v>8</v>
      </c>
      <c r="D10" s="78">
        <f t="shared" si="0"/>
        <v>10</v>
      </c>
      <c r="E10" s="78">
        <f t="shared" si="0"/>
        <v>12</v>
      </c>
      <c r="F10" s="78">
        <f t="shared" si="0"/>
        <v>15</v>
      </c>
      <c r="G10" s="78">
        <f t="shared" si="0"/>
        <v>20</v>
      </c>
      <c r="H10" s="78">
        <f t="shared" si="0"/>
        <v>50</v>
      </c>
      <c r="I10" s="78">
        <f t="shared" si="0"/>
        <v>100</v>
      </c>
      <c r="J10" s="78">
        <f t="shared" si="0"/>
        <v>200</v>
      </c>
      <c r="K10" s="78">
        <f t="shared" si="0"/>
        <v>500</v>
      </c>
      <c r="L10" s="78">
        <f t="shared" si="0"/>
        <v>1000</v>
      </c>
      <c r="M10" s="78">
        <f t="shared" si="0"/>
        <v>5000</v>
      </c>
      <c r="N10" s="1"/>
    </row>
    <row r="11" spans="1:14" ht="15.75" customHeight="1" x14ac:dyDescent="0.25">
      <c r="A11" s="21">
        <v>2033</v>
      </c>
      <c r="B11" s="78">
        <f t="shared" si="0"/>
        <v>5</v>
      </c>
      <c r="C11" s="78">
        <f t="shared" si="0"/>
        <v>8</v>
      </c>
      <c r="D11" s="78">
        <f t="shared" si="0"/>
        <v>10</v>
      </c>
      <c r="E11" s="78">
        <f t="shared" si="0"/>
        <v>12</v>
      </c>
      <c r="F11" s="78">
        <f t="shared" si="0"/>
        <v>15</v>
      </c>
      <c r="G11" s="78">
        <f t="shared" si="0"/>
        <v>20</v>
      </c>
      <c r="H11" s="78">
        <f t="shared" si="0"/>
        <v>50</v>
      </c>
      <c r="I11" s="78">
        <f t="shared" si="0"/>
        <v>100</v>
      </c>
      <c r="J11" s="78">
        <f t="shared" si="0"/>
        <v>200</v>
      </c>
      <c r="K11" s="78">
        <f t="shared" si="0"/>
        <v>500</v>
      </c>
      <c r="L11" s="78">
        <f t="shared" si="0"/>
        <v>1000</v>
      </c>
      <c r="M11" s="78">
        <f t="shared" si="0"/>
        <v>5000</v>
      </c>
      <c r="N11" s="1"/>
    </row>
    <row r="12" spans="1:14" ht="15.75" customHeight="1" x14ac:dyDescent="0.25">
      <c r="A12" s="21">
        <v>2034</v>
      </c>
      <c r="B12" s="78">
        <f t="shared" si="0"/>
        <v>5</v>
      </c>
      <c r="C12" s="78">
        <f t="shared" si="0"/>
        <v>8</v>
      </c>
      <c r="D12" s="78">
        <f t="shared" si="0"/>
        <v>10</v>
      </c>
      <c r="E12" s="78">
        <f t="shared" si="0"/>
        <v>12</v>
      </c>
      <c r="F12" s="78">
        <f t="shared" si="0"/>
        <v>15</v>
      </c>
      <c r="G12" s="78">
        <f t="shared" si="0"/>
        <v>20</v>
      </c>
      <c r="H12" s="78">
        <f t="shared" si="0"/>
        <v>50</v>
      </c>
      <c r="I12" s="78">
        <f t="shared" si="0"/>
        <v>100</v>
      </c>
      <c r="J12" s="78">
        <f t="shared" si="0"/>
        <v>200</v>
      </c>
      <c r="K12" s="78">
        <f t="shared" si="0"/>
        <v>500</v>
      </c>
      <c r="L12" s="78">
        <f t="shared" si="0"/>
        <v>1000</v>
      </c>
      <c r="M12" s="78">
        <f t="shared" si="0"/>
        <v>5000</v>
      </c>
      <c r="N12" s="1"/>
    </row>
    <row r="13" spans="1:14" ht="15.75" customHeight="1" x14ac:dyDescent="0.25">
      <c r="A13" s="21">
        <v>2035</v>
      </c>
      <c r="B13" s="79">
        <v>5</v>
      </c>
      <c r="C13" s="79">
        <v>8</v>
      </c>
      <c r="D13" s="79">
        <v>10</v>
      </c>
      <c r="E13" s="79">
        <v>12</v>
      </c>
      <c r="F13" s="79">
        <v>15</v>
      </c>
      <c r="G13" s="79">
        <v>20</v>
      </c>
      <c r="H13" s="79">
        <v>50</v>
      </c>
      <c r="I13" s="79">
        <v>100</v>
      </c>
      <c r="J13" s="79">
        <v>200</v>
      </c>
      <c r="K13" s="79">
        <v>500</v>
      </c>
      <c r="L13" s="79">
        <v>1000</v>
      </c>
      <c r="M13" s="79">
        <v>5000</v>
      </c>
      <c r="N13" s="1"/>
    </row>
    <row r="14" spans="1:14" ht="15.75" customHeight="1" x14ac:dyDescent="0.25">
      <c r="A14" s="21">
        <v>2036</v>
      </c>
      <c r="B14" s="78">
        <f t="shared" ref="B14:B27" si="1">B13+(B$28-B$13)/15</f>
        <v>4.9333333333333336</v>
      </c>
      <c r="C14" s="78">
        <f t="shared" ref="C14:C27" si="2">C13+(C$28-C$13)/15</f>
        <v>7.8</v>
      </c>
      <c r="D14" s="78">
        <f t="shared" ref="D14:D27" si="3">D13+(D$28-D$13)/15</f>
        <v>9.8666666666666671</v>
      </c>
      <c r="E14" s="78">
        <f t="shared" ref="E14:E27" si="4">E13+(E$28-E$13)/15</f>
        <v>11.866666666666667</v>
      </c>
      <c r="F14" s="78">
        <f t="shared" ref="F14:F27" si="5">F13+(F$28-F$13)/15</f>
        <v>15</v>
      </c>
      <c r="G14" s="78">
        <f t="shared" ref="G14:G27" si="6">G13+(G$28-G$13)/15</f>
        <v>20</v>
      </c>
      <c r="H14" s="78">
        <f t="shared" ref="H14:H27" si="7">H13+(H$28-H$13)/15</f>
        <v>50</v>
      </c>
      <c r="I14" s="78">
        <f t="shared" ref="I14:I27" si="8">I13+(I$28-I$13)/15</f>
        <v>100</v>
      </c>
      <c r="J14" s="78">
        <f t="shared" ref="J14:J27" si="9">J13+(J$28-J$13)/15</f>
        <v>200</v>
      </c>
      <c r="K14" s="78">
        <f t="shared" ref="K14:K27" si="10">K13+(K$28-K$13)/15</f>
        <v>500</v>
      </c>
      <c r="L14" s="78">
        <f t="shared" ref="L14:L27" si="11">L13+(L$28-L$13)/15</f>
        <v>1000</v>
      </c>
      <c r="M14" s="78">
        <f t="shared" ref="M14:M27" si="12">M13+(M$28-M$13)/15</f>
        <v>5000</v>
      </c>
      <c r="N14" s="1"/>
    </row>
    <row r="15" spans="1:14" ht="15.75" customHeight="1" x14ac:dyDescent="0.25">
      <c r="A15" s="21">
        <v>2037</v>
      </c>
      <c r="B15" s="78">
        <f t="shared" si="1"/>
        <v>4.8666666666666671</v>
      </c>
      <c r="C15" s="78">
        <f t="shared" si="2"/>
        <v>7.6</v>
      </c>
      <c r="D15" s="78">
        <f t="shared" si="3"/>
        <v>9.7333333333333343</v>
      </c>
      <c r="E15" s="78">
        <f t="shared" si="4"/>
        <v>11.733333333333334</v>
      </c>
      <c r="F15" s="78">
        <f t="shared" si="5"/>
        <v>15</v>
      </c>
      <c r="G15" s="78">
        <f t="shared" si="6"/>
        <v>20</v>
      </c>
      <c r="H15" s="78">
        <f t="shared" si="7"/>
        <v>50</v>
      </c>
      <c r="I15" s="78">
        <f t="shared" si="8"/>
        <v>100</v>
      </c>
      <c r="J15" s="78">
        <f t="shared" si="9"/>
        <v>200</v>
      </c>
      <c r="K15" s="78">
        <f t="shared" si="10"/>
        <v>500</v>
      </c>
      <c r="L15" s="78">
        <f t="shared" si="11"/>
        <v>1000</v>
      </c>
      <c r="M15" s="78">
        <f t="shared" si="12"/>
        <v>5000</v>
      </c>
      <c r="N15" s="1"/>
    </row>
    <row r="16" spans="1:14" ht="15.75" customHeight="1" x14ac:dyDescent="0.25">
      <c r="A16" s="21">
        <v>2038</v>
      </c>
      <c r="B16" s="78">
        <f t="shared" si="1"/>
        <v>4.8000000000000007</v>
      </c>
      <c r="C16" s="78">
        <f t="shared" si="2"/>
        <v>7.3999999999999995</v>
      </c>
      <c r="D16" s="78">
        <f t="shared" si="3"/>
        <v>9.6000000000000014</v>
      </c>
      <c r="E16" s="78">
        <f t="shared" si="4"/>
        <v>11.600000000000001</v>
      </c>
      <c r="F16" s="78">
        <f t="shared" si="5"/>
        <v>15</v>
      </c>
      <c r="G16" s="78">
        <f t="shared" si="6"/>
        <v>20</v>
      </c>
      <c r="H16" s="78">
        <f t="shared" si="7"/>
        <v>50</v>
      </c>
      <c r="I16" s="78">
        <f t="shared" si="8"/>
        <v>100</v>
      </c>
      <c r="J16" s="78">
        <f t="shared" si="9"/>
        <v>200</v>
      </c>
      <c r="K16" s="78">
        <f t="shared" si="10"/>
        <v>500</v>
      </c>
      <c r="L16" s="78">
        <f t="shared" si="11"/>
        <v>1000</v>
      </c>
      <c r="M16" s="78">
        <f t="shared" si="12"/>
        <v>5000</v>
      </c>
      <c r="N16" s="1"/>
    </row>
    <row r="17" spans="1:14" ht="15.75" customHeight="1" x14ac:dyDescent="0.25">
      <c r="A17" s="21">
        <v>2039</v>
      </c>
      <c r="B17" s="78">
        <f t="shared" si="1"/>
        <v>4.7333333333333343</v>
      </c>
      <c r="C17" s="78">
        <f t="shared" si="2"/>
        <v>7.1999999999999993</v>
      </c>
      <c r="D17" s="78">
        <f t="shared" si="3"/>
        <v>9.4666666666666686</v>
      </c>
      <c r="E17" s="78">
        <f t="shared" si="4"/>
        <v>11.466666666666669</v>
      </c>
      <c r="F17" s="78">
        <f t="shared" si="5"/>
        <v>15</v>
      </c>
      <c r="G17" s="78">
        <f t="shared" si="6"/>
        <v>20</v>
      </c>
      <c r="H17" s="78">
        <f t="shared" si="7"/>
        <v>50</v>
      </c>
      <c r="I17" s="78">
        <f t="shared" si="8"/>
        <v>100</v>
      </c>
      <c r="J17" s="78">
        <f t="shared" si="9"/>
        <v>200</v>
      </c>
      <c r="K17" s="78">
        <f t="shared" si="10"/>
        <v>500</v>
      </c>
      <c r="L17" s="78">
        <f t="shared" si="11"/>
        <v>1000</v>
      </c>
      <c r="M17" s="78">
        <f t="shared" si="12"/>
        <v>5000</v>
      </c>
      <c r="N17" s="1"/>
    </row>
    <row r="18" spans="1:14" ht="15.75" customHeight="1" x14ac:dyDescent="0.25">
      <c r="A18" s="21">
        <v>2040</v>
      </c>
      <c r="B18" s="78">
        <f t="shared" si="1"/>
        <v>4.6666666666666679</v>
      </c>
      <c r="C18" s="78">
        <f t="shared" si="2"/>
        <v>6.9999999999999991</v>
      </c>
      <c r="D18" s="78">
        <f t="shared" si="3"/>
        <v>9.3333333333333357</v>
      </c>
      <c r="E18" s="78">
        <f t="shared" si="4"/>
        <v>11.333333333333336</v>
      </c>
      <c r="F18" s="78">
        <f t="shared" si="5"/>
        <v>15</v>
      </c>
      <c r="G18" s="78">
        <f t="shared" si="6"/>
        <v>20</v>
      </c>
      <c r="H18" s="78">
        <f t="shared" si="7"/>
        <v>50</v>
      </c>
      <c r="I18" s="78">
        <f t="shared" si="8"/>
        <v>100</v>
      </c>
      <c r="J18" s="78">
        <f t="shared" si="9"/>
        <v>200</v>
      </c>
      <c r="K18" s="78">
        <f t="shared" si="10"/>
        <v>500</v>
      </c>
      <c r="L18" s="78">
        <f t="shared" si="11"/>
        <v>1000</v>
      </c>
      <c r="M18" s="78">
        <f t="shared" si="12"/>
        <v>5000</v>
      </c>
      <c r="N18" s="1"/>
    </row>
    <row r="19" spans="1:14" ht="15.75" customHeight="1" x14ac:dyDescent="0.25">
      <c r="A19" s="21">
        <v>2041</v>
      </c>
      <c r="B19" s="78">
        <f t="shared" si="1"/>
        <v>4.6000000000000014</v>
      </c>
      <c r="C19" s="78">
        <f t="shared" si="2"/>
        <v>6.7999999999999989</v>
      </c>
      <c r="D19" s="78">
        <f t="shared" si="3"/>
        <v>9.2000000000000028</v>
      </c>
      <c r="E19" s="78">
        <f t="shared" si="4"/>
        <v>11.200000000000003</v>
      </c>
      <c r="F19" s="78">
        <f t="shared" si="5"/>
        <v>15</v>
      </c>
      <c r="G19" s="78">
        <f t="shared" si="6"/>
        <v>20</v>
      </c>
      <c r="H19" s="78">
        <f t="shared" si="7"/>
        <v>50</v>
      </c>
      <c r="I19" s="78">
        <f t="shared" si="8"/>
        <v>100</v>
      </c>
      <c r="J19" s="78">
        <f t="shared" si="9"/>
        <v>200</v>
      </c>
      <c r="K19" s="78">
        <f t="shared" si="10"/>
        <v>500</v>
      </c>
      <c r="L19" s="78">
        <f t="shared" si="11"/>
        <v>1000</v>
      </c>
      <c r="M19" s="78">
        <f t="shared" si="12"/>
        <v>5000</v>
      </c>
      <c r="N19" s="1"/>
    </row>
    <row r="20" spans="1:14" ht="15.75" customHeight="1" x14ac:dyDescent="0.25">
      <c r="A20" s="21">
        <v>2042</v>
      </c>
      <c r="B20" s="78">
        <f t="shared" si="1"/>
        <v>4.533333333333335</v>
      </c>
      <c r="C20" s="78">
        <f t="shared" si="2"/>
        <v>6.5999999999999988</v>
      </c>
      <c r="D20" s="78">
        <f t="shared" si="3"/>
        <v>9.06666666666667</v>
      </c>
      <c r="E20" s="78">
        <f t="shared" si="4"/>
        <v>11.06666666666667</v>
      </c>
      <c r="F20" s="78">
        <f t="shared" si="5"/>
        <v>15</v>
      </c>
      <c r="G20" s="78">
        <f t="shared" si="6"/>
        <v>20</v>
      </c>
      <c r="H20" s="78">
        <f t="shared" si="7"/>
        <v>50</v>
      </c>
      <c r="I20" s="78">
        <f t="shared" si="8"/>
        <v>100</v>
      </c>
      <c r="J20" s="78">
        <f t="shared" si="9"/>
        <v>200</v>
      </c>
      <c r="K20" s="78">
        <f t="shared" si="10"/>
        <v>500</v>
      </c>
      <c r="L20" s="78">
        <f t="shared" si="11"/>
        <v>1000</v>
      </c>
      <c r="M20" s="78">
        <f t="shared" si="12"/>
        <v>5000</v>
      </c>
      <c r="N20" s="1"/>
    </row>
    <row r="21" spans="1:14" ht="15.75" customHeight="1" x14ac:dyDescent="0.25">
      <c r="A21" s="21">
        <v>2043</v>
      </c>
      <c r="B21" s="78">
        <f t="shared" si="1"/>
        <v>4.4666666666666686</v>
      </c>
      <c r="C21" s="78">
        <f t="shared" si="2"/>
        <v>6.3999999999999986</v>
      </c>
      <c r="D21" s="78">
        <f t="shared" si="3"/>
        <v>8.9333333333333371</v>
      </c>
      <c r="E21" s="78">
        <f t="shared" si="4"/>
        <v>10.933333333333337</v>
      </c>
      <c r="F21" s="78">
        <f t="shared" si="5"/>
        <v>15</v>
      </c>
      <c r="G21" s="78">
        <f t="shared" si="6"/>
        <v>20</v>
      </c>
      <c r="H21" s="78">
        <f t="shared" si="7"/>
        <v>50</v>
      </c>
      <c r="I21" s="78">
        <f t="shared" si="8"/>
        <v>100</v>
      </c>
      <c r="J21" s="78">
        <f t="shared" si="9"/>
        <v>200</v>
      </c>
      <c r="K21" s="78">
        <f t="shared" si="10"/>
        <v>500</v>
      </c>
      <c r="L21" s="78">
        <f t="shared" si="11"/>
        <v>1000</v>
      </c>
      <c r="M21" s="78">
        <f t="shared" si="12"/>
        <v>5000</v>
      </c>
      <c r="N21" s="1"/>
    </row>
    <row r="22" spans="1:14" ht="15.75" customHeight="1" x14ac:dyDescent="0.25">
      <c r="A22" s="21">
        <v>2044</v>
      </c>
      <c r="B22" s="78">
        <f t="shared" si="1"/>
        <v>4.4000000000000021</v>
      </c>
      <c r="C22" s="78">
        <f t="shared" si="2"/>
        <v>6.1999999999999984</v>
      </c>
      <c r="D22" s="78">
        <f t="shared" si="3"/>
        <v>8.8000000000000043</v>
      </c>
      <c r="E22" s="78">
        <f t="shared" si="4"/>
        <v>10.800000000000004</v>
      </c>
      <c r="F22" s="78">
        <f t="shared" si="5"/>
        <v>15</v>
      </c>
      <c r="G22" s="78">
        <f t="shared" si="6"/>
        <v>20</v>
      </c>
      <c r="H22" s="78">
        <f t="shared" si="7"/>
        <v>50</v>
      </c>
      <c r="I22" s="78">
        <f t="shared" si="8"/>
        <v>100</v>
      </c>
      <c r="J22" s="78">
        <f t="shared" si="9"/>
        <v>200</v>
      </c>
      <c r="K22" s="78">
        <f t="shared" si="10"/>
        <v>500</v>
      </c>
      <c r="L22" s="78">
        <f t="shared" si="11"/>
        <v>1000</v>
      </c>
      <c r="M22" s="78">
        <f t="shared" si="12"/>
        <v>5000</v>
      </c>
      <c r="N22" s="1"/>
    </row>
    <row r="23" spans="1:14" ht="15.75" customHeight="1" x14ac:dyDescent="0.25">
      <c r="A23" s="21">
        <v>2045</v>
      </c>
      <c r="B23" s="78">
        <f t="shared" si="1"/>
        <v>4.3333333333333357</v>
      </c>
      <c r="C23" s="78">
        <f t="shared" si="2"/>
        <v>5.9999999999999982</v>
      </c>
      <c r="D23" s="78">
        <f t="shared" si="3"/>
        <v>8.6666666666666714</v>
      </c>
      <c r="E23" s="78">
        <f t="shared" si="4"/>
        <v>10.666666666666671</v>
      </c>
      <c r="F23" s="78">
        <f t="shared" si="5"/>
        <v>15</v>
      </c>
      <c r="G23" s="78">
        <f t="shared" si="6"/>
        <v>20</v>
      </c>
      <c r="H23" s="78">
        <f t="shared" si="7"/>
        <v>50</v>
      </c>
      <c r="I23" s="78">
        <f t="shared" si="8"/>
        <v>100</v>
      </c>
      <c r="J23" s="78">
        <f t="shared" si="9"/>
        <v>200</v>
      </c>
      <c r="K23" s="78">
        <f t="shared" si="10"/>
        <v>500</v>
      </c>
      <c r="L23" s="78">
        <f t="shared" si="11"/>
        <v>1000</v>
      </c>
      <c r="M23" s="78">
        <f t="shared" si="12"/>
        <v>5000</v>
      </c>
      <c r="N23" s="1"/>
    </row>
    <row r="24" spans="1:14" ht="15.75" customHeight="1" x14ac:dyDescent="0.25">
      <c r="A24" s="21">
        <v>2046</v>
      </c>
      <c r="B24" s="78">
        <f t="shared" si="1"/>
        <v>4.2666666666666693</v>
      </c>
      <c r="C24" s="78">
        <f t="shared" si="2"/>
        <v>5.799999999999998</v>
      </c>
      <c r="D24" s="78">
        <f t="shared" si="3"/>
        <v>8.5333333333333385</v>
      </c>
      <c r="E24" s="78">
        <f t="shared" si="4"/>
        <v>10.533333333333339</v>
      </c>
      <c r="F24" s="78">
        <f t="shared" si="5"/>
        <v>15</v>
      </c>
      <c r="G24" s="78">
        <f t="shared" si="6"/>
        <v>20</v>
      </c>
      <c r="H24" s="78">
        <f t="shared" si="7"/>
        <v>50</v>
      </c>
      <c r="I24" s="78">
        <f t="shared" si="8"/>
        <v>100</v>
      </c>
      <c r="J24" s="78">
        <f t="shared" si="9"/>
        <v>200</v>
      </c>
      <c r="K24" s="78">
        <f t="shared" si="10"/>
        <v>500</v>
      </c>
      <c r="L24" s="78">
        <f t="shared" si="11"/>
        <v>1000</v>
      </c>
      <c r="M24" s="78">
        <f t="shared" si="12"/>
        <v>5000</v>
      </c>
      <c r="N24" s="1"/>
    </row>
    <row r="25" spans="1:14" ht="15.75" customHeight="1" x14ac:dyDescent="0.25">
      <c r="A25" s="21">
        <v>2047</v>
      </c>
      <c r="B25" s="78">
        <f t="shared" si="1"/>
        <v>4.2000000000000028</v>
      </c>
      <c r="C25" s="78">
        <f t="shared" si="2"/>
        <v>5.5999999999999979</v>
      </c>
      <c r="D25" s="78">
        <f t="shared" si="3"/>
        <v>8.4000000000000057</v>
      </c>
      <c r="E25" s="78">
        <f t="shared" si="4"/>
        <v>10.400000000000006</v>
      </c>
      <c r="F25" s="78">
        <f t="shared" si="5"/>
        <v>15</v>
      </c>
      <c r="G25" s="78">
        <f t="shared" si="6"/>
        <v>20</v>
      </c>
      <c r="H25" s="78">
        <f t="shared" si="7"/>
        <v>50</v>
      </c>
      <c r="I25" s="78">
        <f t="shared" si="8"/>
        <v>100</v>
      </c>
      <c r="J25" s="78">
        <f t="shared" si="9"/>
        <v>200</v>
      </c>
      <c r="K25" s="78">
        <f t="shared" si="10"/>
        <v>500</v>
      </c>
      <c r="L25" s="78">
        <f t="shared" si="11"/>
        <v>1000</v>
      </c>
      <c r="M25" s="78">
        <f t="shared" si="12"/>
        <v>5000</v>
      </c>
      <c r="N25" s="1"/>
    </row>
    <row r="26" spans="1:14" ht="15.75" customHeight="1" x14ac:dyDescent="0.25">
      <c r="A26" s="21">
        <v>2048</v>
      </c>
      <c r="B26" s="78">
        <f t="shared" si="1"/>
        <v>4.1333333333333364</v>
      </c>
      <c r="C26" s="78">
        <f t="shared" si="2"/>
        <v>5.3999999999999977</v>
      </c>
      <c r="D26" s="78">
        <f t="shared" si="3"/>
        <v>8.2666666666666728</v>
      </c>
      <c r="E26" s="78">
        <f t="shared" si="4"/>
        <v>10.266666666666673</v>
      </c>
      <c r="F26" s="78">
        <f t="shared" si="5"/>
        <v>15</v>
      </c>
      <c r="G26" s="78">
        <f t="shared" si="6"/>
        <v>20</v>
      </c>
      <c r="H26" s="78">
        <f t="shared" si="7"/>
        <v>50</v>
      </c>
      <c r="I26" s="78">
        <f t="shared" si="8"/>
        <v>100</v>
      </c>
      <c r="J26" s="78">
        <f t="shared" si="9"/>
        <v>200</v>
      </c>
      <c r="K26" s="78">
        <f t="shared" si="10"/>
        <v>500</v>
      </c>
      <c r="L26" s="78">
        <f t="shared" si="11"/>
        <v>1000</v>
      </c>
      <c r="M26" s="78">
        <f t="shared" si="12"/>
        <v>5000</v>
      </c>
      <c r="N26" s="1"/>
    </row>
    <row r="27" spans="1:14" ht="15.75" customHeight="1" x14ac:dyDescent="0.25">
      <c r="A27" s="21">
        <v>2049</v>
      </c>
      <c r="B27" s="78">
        <f t="shared" si="1"/>
        <v>4.06666666666667</v>
      </c>
      <c r="C27" s="78">
        <f t="shared" si="2"/>
        <v>5.1999999999999975</v>
      </c>
      <c r="D27" s="78">
        <f t="shared" si="3"/>
        <v>8.13333333333334</v>
      </c>
      <c r="E27" s="78">
        <f t="shared" si="4"/>
        <v>10.13333333333334</v>
      </c>
      <c r="F27" s="78">
        <f t="shared" si="5"/>
        <v>15</v>
      </c>
      <c r="G27" s="78">
        <f t="shared" si="6"/>
        <v>20</v>
      </c>
      <c r="H27" s="78">
        <f t="shared" si="7"/>
        <v>50</v>
      </c>
      <c r="I27" s="78">
        <f t="shared" si="8"/>
        <v>100</v>
      </c>
      <c r="J27" s="78">
        <f t="shared" si="9"/>
        <v>200</v>
      </c>
      <c r="K27" s="78">
        <f t="shared" si="10"/>
        <v>500</v>
      </c>
      <c r="L27" s="78">
        <f t="shared" si="11"/>
        <v>1000</v>
      </c>
      <c r="M27" s="78">
        <f t="shared" si="12"/>
        <v>5000</v>
      </c>
      <c r="N27" s="1"/>
    </row>
    <row r="28" spans="1:14" ht="15.75" customHeight="1" x14ac:dyDescent="0.25">
      <c r="A28" s="21">
        <v>2050</v>
      </c>
      <c r="B28" s="79">
        <v>4</v>
      </c>
      <c r="C28" s="79">
        <v>5</v>
      </c>
      <c r="D28" s="79">
        <v>8</v>
      </c>
      <c r="E28" s="79">
        <v>10</v>
      </c>
      <c r="F28" s="79">
        <v>15</v>
      </c>
      <c r="G28" s="79">
        <v>20</v>
      </c>
      <c r="H28" s="79">
        <v>50</v>
      </c>
      <c r="I28" s="79">
        <v>100</v>
      </c>
      <c r="J28" s="79">
        <v>200</v>
      </c>
      <c r="K28" s="79">
        <v>500</v>
      </c>
      <c r="L28" s="79">
        <v>1000</v>
      </c>
      <c r="M28" s="79">
        <v>5000</v>
      </c>
      <c r="N28" s="1"/>
    </row>
    <row r="29" spans="1:14" ht="15.75" customHeight="1" x14ac:dyDescent="0.25">
      <c r="A29" s="21">
        <v>2051</v>
      </c>
      <c r="B29" s="78">
        <f t="shared" ref="B29:B47" si="13">B28+(B$48-B$28)/20</f>
        <v>3.95</v>
      </c>
      <c r="C29" s="78">
        <f t="shared" ref="C29:C47" si="14">C28+(C$48-C$28)/20</f>
        <v>4.95</v>
      </c>
      <c r="D29" s="78">
        <f t="shared" ref="D29:D47" si="15">D28+(D$48-D$28)/20</f>
        <v>7.95</v>
      </c>
      <c r="E29" s="78">
        <f t="shared" ref="E29:E47" si="16">E28+(E$48-E$28)/20</f>
        <v>9.9499999999999993</v>
      </c>
      <c r="F29" s="78">
        <f t="shared" ref="F29:F47" si="17">F28+(F$48-F$28)/20</f>
        <v>14.85</v>
      </c>
      <c r="G29" s="78">
        <f t="shared" ref="G29:G47" si="18">G28+(G$48-G$28)/20</f>
        <v>20</v>
      </c>
      <c r="H29" s="78">
        <f t="shared" ref="H29:H47" si="19">H28+(H$48-H$28)/20</f>
        <v>50</v>
      </c>
      <c r="I29" s="78">
        <f t="shared" ref="I29:I47" si="20">I28+(I$48-I$28)/20</f>
        <v>100</v>
      </c>
      <c r="J29" s="78">
        <f t="shared" ref="J29:J47" si="21">J28+(J$48-J$28)/20</f>
        <v>200</v>
      </c>
      <c r="K29" s="78">
        <f t="shared" ref="K29:K47" si="22">K28+(K$48-K$28)/20</f>
        <v>500</v>
      </c>
      <c r="L29" s="78">
        <f t="shared" ref="L29:L47" si="23">L28+(L$48-L$28)/20</f>
        <v>1000</v>
      </c>
      <c r="M29" s="78">
        <f t="shared" ref="M29:M47" si="24">M28+(M$48-M$28)/20</f>
        <v>5000</v>
      </c>
      <c r="N29" s="1"/>
    </row>
    <row r="30" spans="1:14" ht="15.75" customHeight="1" x14ac:dyDescent="0.25">
      <c r="A30" s="21">
        <v>2052</v>
      </c>
      <c r="B30" s="78">
        <f t="shared" si="13"/>
        <v>3.9000000000000004</v>
      </c>
      <c r="C30" s="78">
        <f t="shared" si="14"/>
        <v>4.9000000000000004</v>
      </c>
      <c r="D30" s="78">
        <f t="shared" si="15"/>
        <v>7.9</v>
      </c>
      <c r="E30" s="78">
        <f t="shared" si="16"/>
        <v>9.8999999999999986</v>
      </c>
      <c r="F30" s="78">
        <f t="shared" si="17"/>
        <v>14.7</v>
      </c>
      <c r="G30" s="78">
        <f t="shared" si="18"/>
        <v>20</v>
      </c>
      <c r="H30" s="78">
        <f t="shared" si="19"/>
        <v>50</v>
      </c>
      <c r="I30" s="78">
        <f t="shared" si="20"/>
        <v>100</v>
      </c>
      <c r="J30" s="78">
        <f t="shared" si="21"/>
        <v>200</v>
      </c>
      <c r="K30" s="78">
        <f t="shared" si="22"/>
        <v>500</v>
      </c>
      <c r="L30" s="78">
        <f t="shared" si="23"/>
        <v>1000</v>
      </c>
      <c r="M30" s="78">
        <f t="shared" si="24"/>
        <v>5000</v>
      </c>
    </row>
    <row r="31" spans="1:14" ht="15.75" customHeight="1" x14ac:dyDescent="0.25">
      <c r="A31" s="21">
        <v>2053</v>
      </c>
      <c r="B31" s="78">
        <f t="shared" si="13"/>
        <v>3.8500000000000005</v>
      </c>
      <c r="C31" s="78">
        <f t="shared" si="14"/>
        <v>4.8500000000000005</v>
      </c>
      <c r="D31" s="78">
        <f t="shared" si="15"/>
        <v>7.8500000000000005</v>
      </c>
      <c r="E31" s="78">
        <f t="shared" si="16"/>
        <v>9.8499999999999979</v>
      </c>
      <c r="F31" s="78">
        <f t="shared" si="17"/>
        <v>14.549999999999999</v>
      </c>
      <c r="G31" s="78">
        <f t="shared" si="18"/>
        <v>20</v>
      </c>
      <c r="H31" s="78">
        <f t="shared" si="19"/>
        <v>50</v>
      </c>
      <c r="I31" s="78">
        <f t="shared" si="20"/>
        <v>100</v>
      </c>
      <c r="J31" s="78">
        <f t="shared" si="21"/>
        <v>200</v>
      </c>
      <c r="K31" s="78">
        <f t="shared" si="22"/>
        <v>500</v>
      </c>
      <c r="L31" s="78">
        <f t="shared" si="23"/>
        <v>1000</v>
      </c>
      <c r="M31" s="78">
        <f t="shared" si="24"/>
        <v>5000</v>
      </c>
    </row>
    <row r="32" spans="1:14" ht="15.75" customHeight="1" x14ac:dyDescent="0.25">
      <c r="A32" s="21">
        <v>2054</v>
      </c>
      <c r="B32" s="78">
        <f t="shared" si="13"/>
        <v>3.8000000000000007</v>
      </c>
      <c r="C32" s="78">
        <f t="shared" si="14"/>
        <v>4.8000000000000007</v>
      </c>
      <c r="D32" s="78">
        <f t="shared" si="15"/>
        <v>7.8000000000000007</v>
      </c>
      <c r="E32" s="78">
        <f t="shared" si="16"/>
        <v>9.7999999999999972</v>
      </c>
      <c r="F32" s="78">
        <f t="shared" si="17"/>
        <v>14.399999999999999</v>
      </c>
      <c r="G32" s="78">
        <f t="shared" si="18"/>
        <v>20</v>
      </c>
      <c r="H32" s="78">
        <f t="shared" si="19"/>
        <v>50</v>
      </c>
      <c r="I32" s="78">
        <f t="shared" si="20"/>
        <v>100</v>
      </c>
      <c r="J32" s="78">
        <f t="shared" si="21"/>
        <v>200</v>
      </c>
      <c r="K32" s="78">
        <f t="shared" si="22"/>
        <v>500</v>
      </c>
      <c r="L32" s="78">
        <f t="shared" si="23"/>
        <v>1000</v>
      </c>
      <c r="M32" s="78">
        <f t="shared" si="24"/>
        <v>5000</v>
      </c>
    </row>
    <row r="33" spans="1:13" ht="15.75" customHeight="1" x14ac:dyDescent="0.25">
      <c r="A33" s="21">
        <v>2055</v>
      </c>
      <c r="B33" s="78">
        <f t="shared" si="13"/>
        <v>3.7500000000000009</v>
      </c>
      <c r="C33" s="78">
        <f t="shared" si="14"/>
        <v>4.7500000000000009</v>
      </c>
      <c r="D33" s="78">
        <f t="shared" si="15"/>
        <v>7.7500000000000009</v>
      </c>
      <c r="E33" s="78">
        <f t="shared" si="16"/>
        <v>9.7499999999999964</v>
      </c>
      <c r="F33" s="78">
        <f t="shared" si="17"/>
        <v>14.249999999999998</v>
      </c>
      <c r="G33" s="78">
        <f t="shared" si="18"/>
        <v>20</v>
      </c>
      <c r="H33" s="78">
        <f t="shared" si="19"/>
        <v>50</v>
      </c>
      <c r="I33" s="78">
        <f t="shared" si="20"/>
        <v>100</v>
      </c>
      <c r="J33" s="78">
        <f t="shared" si="21"/>
        <v>200</v>
      </c>
      <c r="K33" s="78">
        <f t="shared" si="22"/>
        <v>500</v>
      </c>
      <c r="L33" s="78">
        <f t="shared" si="23"/>
        <v>1000</v>
      </c>
      <c r="M33" s="78">
        <f t="shared" si="24"/>
        <v>5000</v>
      </c>
    </row>
    <row r="34" spans="1:13" ht="15.75" customHeight="1" x14ac:dyDescent="0.25">
      <c r="A34" s="21">
        <v>2056</v>
      </c>
      <c r="B34" s="78">
        <f t="shared" si="13"/>
        <v>3.7000000000000011</v>
      </c>
      <c r="C34" s="78">
        <f t="shared" si="14"/>
        <v>4.7000000000000011</v>
      </c>
      <c r="D34" s="78">
        <f t="shared" si="15"/>
        <v>7.7000000000000011</v>
      </c>
      <c r="E34" s="78">
        <f t="shared" si="16"/>
        <v>9.6999999999999957</v>
      </c>
      <c r="F34" s="78">
        <f t="shared" si="17"/>
        <v>14.099999999999998</v>
      </c>
      <c r="G34" s="78">
        <f t="shared" si="18"/>
        <v>20</v>
      </c>
      <c r="H34" s="78">
        <f t="shared" si="19"/>
        <v>50</v>
      </c>
      <c r="I34" s="78">
        <f t="shared" si="20"/>
        <v>100</v>
      </c>
      <c r="J34" s="78">
        <f t="shared" si="21"/>
        <v>200</v>
      </c>
      <c r="K34" s="78">
        <f t="shared" si="22"/>
        <v>500</v>
      </c>
      <c r="L34" s="78">
        <f t="shared" si="23"/>
        <v>1000</v>
      </c>
      <c r="M34" s="78">
        <f t="shared" si="24"/>
        <v>5000</v>
      </c>
    </row>
    <row r="35" spans="1:13" ht="15.75" customHeight="1" x14ac:dyDescent="0.25">
      <c r="A35" s="21">
        <v>2057</v>
      </c>
      <c r="B35" s="78">
        <f t="shared" si="13"/>
        <v>3.6500000000000012</v>
      </c>
      <c r="C35" s="78">
        <f t="shared" si="14"/>
        <v>4.6500000000000012</v>
      </c>
      <c r="D35" s="78">
        <f t="shared" si="15"/>
        <v>7.6500000000000012</v>
      </c>
      <c r="E35" s="78">
        <f t="shared" si="16"/>
        <v>9.649999999999995</v>
      </c>
      <c r="F35" s="78">
        <f t="shared" si="17"/>
        <v>13.949999999999998</v>
      </c>
      <c r="G35" s="78">
        <f t="shared" si="18"/>
        <v>20</v>
      </c>
      <c r="H35" s="78">
        <f t="shared" si="19"/>
        <v>50</v>
      </c>
      <c r="I35" s="78">
        <f t="shared" si="20"/>
        <v>100</v>
      </c>
      <c r="J35" s="78">
        <f t="shared" si="21"/>
        <v>200</v>
      </c>
      <c r="K35" s="78">
        <f t="shared" si="22"/>
        <v>500</v>
      </c>
      <c r="L35" s="78">
        <f t="shared" si="23"/>
        <v>1000</v>
      </c>
      <c r="M35" s="78">
        <f t="shared" si="24"/>
        <v>5000</v>
      </c>
    </row>
    <row r="36" spans="1:13" ht="15.75" customHeight="1" x14ac:dyDescent="0.25">
      <c r="A36" s="21">
        <v>2058</v>
      </c>
      <c r="B36" s="78">
        <f t="shared" si="13"/>
        <v>3.6000000000000014</v>
      </c>
      <c r="C36" s="78">
        <f t="shared" si="14"/>
        <v>4.6000000000000014</v>
      </c>
      <c r="D36" s="78">
        <f t="shared" si="15"/>
        <v>7.6000000000000014</v>
      </c>
      <c r="E36" s="78">
        <f t="shared" si="16"/>
        <v>9.5999999999999943</v>
      </c>
      <c r="F36" s="78">
        <f t="shared" si="17"/>
        <v>13.799999999999997</v>
      </c>
      <c r="G36" s="78">
        <f t="shared" si="18"/>
        <v>20</v>
      </c>
      <c r="H36" s="78">
        <f t="shared" si="19"/>
        <v>50</v>
      </c>
      <c r="I36" s="78">
        <f t="shared" si="20"/>
        <v>100</v>
      </c>
      <c r="J36" s="78">
        <f t="shared" si="21"/>
        <v>200</v>
      </c>
      <c r="K36" s="78">
        <f t="shared" si="22"/>
        <v>500</v>
      </c>
      <c r="L36" s="78">
        <f t="shared" si="23"/>
        <v>1000</v>
      </c>
      <c r="M36" s="78">
        <f t="shared" si="24"/>
        <v>5000</v>
      </c>
    </row>
    <row r="37" spans="1:13" ht="15.75" customHeight="1" x14ac:dyDescent="0.25">
      <c r="A37" s="21">
        <v>2059</v>
      </c>
      <c r="B37" s="78">
        <f t="shared" si="13"/>
        <v>3.5500000000000016</v>
      </c>
      <c r="C37" s="78">
        <f t="shared" si="14"/>
        <v>4.5500000000000016</v>
      </c>
      <c r="D37" s="78">
        <f t="shared" si="15"/>
        <v>7.5500000000000016</v>
      </c>
      <c r="E37" s="78">
        <f t="shared" si="16"/>
        <v>9.5499999999999936</v>
      </c>
      <c r="F37" s="78">
        <f t="shared" si="17"/>
        <v>13.649999999999997</v>
      </c>
      <c r="G37" s="78">
        <f t="shared" si="18"/>
        <v>20</v>
      </c>
      <c r="H37" s="78">
        <f t="shared" si="19"/>
        <v>50</v>
      </c>
      <c r="I37" s="78">
        <f t="shared" si="20"/>
        <v>100</v>
      </c>
      <c r="J37" s="78">
        <f t="shared" si="21"/>
        <v>200</v>
      </c>
      <c r="K37" s="78">
        <f t="shared" si="22"/>
        <v>500</v>
      </c>
      <c r="L37" s="78">
        <f t="shared" si="23"/>
        <v>1000</v>
      </c>
      <c r="M37" s="78">
        <f t="shared" si="24"/>
        <v>5000</v>
      </c>
    </row>
    <row r="38" spans="1:13" ht="15.75" customHeight="1" x14ac:dyDescent="0.25">
      <c r="A38" s="21">
        <v>2060</v>
      </c>
      <c r="B38" s="78">
        <f t="shared" si="13"/>
        <v>3.5000000000000018</v>
      </c>
      <c r="C38" s="78">
        <f t="shared" si="14"/>
        <v>4.5000000000000018</v>
      </c>
      <c r="D38" s="78">
        <f t="shared" si="15"/>
        <v>7.5000000000000018</v>
      </c>
      <c r="E38" s="78">
        <f t="shared" si="16"/>
        <v>9.4999999999999929</v>
      </c>
      <c r="F38" s="78">
        <f t="shared" si="17"/>
        <v>13.499999999999996</v>
      </c>
      <c r="G38" s="78">
        <f t="shared" si="18"/>
        <v>20</v>
      </c>
      <c r="H38" s="78">
        <f t="shared" si="19"/>
        <v>50</v>
      </c>
      <c r="I38" s="78">
        <f t="shared" si="20"/>
        <v>100</v>
      </c>
      <c r="J38" s="78">
        <f t="shared" si="21"/>
        <v>200</v>
      </c>
      <c r="K38" s="78">
        <f t="shared" si="22"/>
        <v>500</v>
      </c>
      <c r="L38" s="78">
        <f t="shared" si="23"/>
        <v>1000</v>
      </c>
      <c r="M38" s="78">
        <f t="shared" si="24"/>
        <v>5000</v>
      </c>
    </row>
    <row r="39" spans="1:13" ht="15.75" customHeight="1" x14ac:dyDescent="0.25">
      <c r="A39" s="21">
        <v>2061</v>
      </c>
      <c r="B39" s="78">
        <f t="shared" si="13"/>
        <v>3.450000000000002</v>
      </c>
      <c r="C39" s="78">
        <f t="shared" si="14"/>
        <v>4.450000000000002</v>
      </c>
      <c r="D39" s="78">
        <f t="shared" si="15"/>
        <v>7.450000000000002</v>
      </c>
      <c r="E39" s="78">
        <f t="shared" si="16"/>
        <v>9.4499999999999922</v>
      </c>
      <c r="F39" s="78">
        <f t="shared" si="17"/>
        <v>13.349999999999996</v>
      </c>
      <c r="G39" s="78">
        <f t="shared" si="18"/>
        <v>20</v>
      </c>
      <c r="H39" s="78">
        <f t="shared" si="19"/>
        <v>50</v>
      </c>
      <c r="I39" s="78">
        <f t="shared" si="20"/>
        <v>100</v>
      </c>
      <c r="J39" s="78">
        <f t="shared" si="21"/>
        <v>200</v>
      </c>
      <c r="K39" s="78">
        <f t="shared" si="22"/>
        <v>500</v>
      </c>
      <c r="L39" s="78">
        <f t="shared" si="23"/>
        <v>1000</v>
      </c>
      <c r="M39" s="78">
        <f t="shared" si="24"/>
        <v>5000</v>
      </c>
    </row>
    <row r="40" spans="1:13" ht="15.75" customHeight="1" x14ac:dyDescent="0.25">
      <c r="A40" s="21">
        <v>2062</v>
      </c>
      <c r="B40" s="78">
        <f t="shared" si="13"/>
        <v>3.4000000000000021</v>
      </c>
      <c r="C40" s="78">
        <f t="shared" si="14"/>
        <v>4.4000000000000021</v>
      </c>
      <c r="D40" s="78">
        <f t="shared" si="15"/>
        <v>7.4000000000000021</v>
      </c>
      <c r="E40" s="78">
        <f t="shared" si="16"/>
        <v>9.3999999999999915</v>
      </c>
      <c r="F40" s="78">
        <f t="shared" si="17"/>
        <v>13.199999999999996</v>
      </c>
      <c r="G40" s="78">
        <f t="shared" si="18"/>
        <v>20</v>
      </c>
      <c r="H40" s="78">
        <f t="shared" si="19"/>
        <v>50</v>
      </c>
      <c r="I40" s="78">
        <f t="shared" si="20"/>
        <v>100</v>
      </c>
      <c r="J40" s="78">
        <f t="shared" si="21"/>
        <v>200</v>
      </c>
      <c r="K40" s="78">
        <f t="shared" si="22"/>
        <v>500</v>
      </c>
      <c r="L40" s="78">
        <f t="shared" si="23"/>
        <v>1000</v>
      </c>
      <c r="M40" s="78">
        <f t="shared" si="24"/>
        <v>5000</v>
      </c>
    </row>
    <row r="41" spans="1:13" ht="15.75" customHeight="1" x14ac:dyDescent="0.25">
      <c r="A41" s="21">
        <v>2063</v>
      </c>
      <c r="B41" s="78">
        <f t="shared" si="13"/>
        <v>3.3500000000000023</v>
      </c>
      <c r="C41" s="78">
        <f t="shared" si="14"/>
        <v>4.3500000000000023</v>
      </c>
      <c r="D41" s="78">
        <f t="shared" si="15"/>
        <v>7.3500000000000023</v>
      </c>
      <c r="E41" s="78">
        <f t="shared" si="16"/>
        <v>9.3499999999999908</v>
      </c>
      <c r="F41" s="78">
        <f t="shared" si="17"/>
        <v>13.049999999999995</v>
      </c>
      <c r="G41" s="78">
        <f t="shared" si="18"/>
        <v>20</v>
      </c>
      <c r="H41" s="78">
        <f t="shared" si="19"/>
        <v>50</v>
      </c>
      <c r="I41" s="78">
        <f t="shared" si="20"/>
        <v>100</v>
      </c>
      <c r="J41" s="78">
        <f t="shared" si="21"/>
        <v>200</v>
      </c>
      <c r="K41" s="78">
        <f t="shared" si="22"/>
        <v>500</v>
      </c>
      <c r="L41" s="78">
        <f t="shared" si="23"/>
        <v>1000</v>
      </c>
      <c r="M41" s="78">
        <f t="shared" si="24"/>
        <v>5000</v>
      </c>
    </row>
    <row r="42" spans="1:13" ht="15.75" customHeight="1" x14ac:dyDescent="0.25">
      <c r="A42" s="21">
        <v>2064</v>
      </c>
      <c r="B42" s="78">
        <f t="shared" si="13"/>
        <v>3.3000000000000025</v>
      </c>
      <c r="C42" s="78">
        <f t="shared" si="14"/>
        <v>4.3000000000000025</v>
      </c>
      <c r="D42" s="78">
        <f t="shared" si="15"/>
        <v>7.3000000000000025</v>
      </c>
      <c r="E42" s="78">
        <f t="shared" si="16"/>
        <v>9.2999999999999901</v>
      </c>
      <c r="F42" s="78">
        <f t="shared" si="17"/>
        <v>12.899999999999995</v>
      </c>
      <c r="G42" s="78">
        <f t="shared" si="18"/>
        <v>20</v>
      </c>
      <c r="H42" s="78">
        <f t="shared" si="19"/>
        <v>50</v>
      </c>
      <c r="I42" s="78">
        <f t="shared" si="20"/>
        <v>100</v>
      </c>
      <c r="J42" s="78">
        <f t="shared" si="21"/>
        <v>200</v>
      </c>
      <c r="K42" s="78">
        <f t="shared" si="22"/>
        <v>500</v>
      </c>
      <c r="L42" s="78">
        <f t="shared" si="23"/>
        <v>1000</v>
      </c>
      <c r="M42" s="78">
        <f t="shared" si="24"/>
        <v>5000</v>
      </c>
    </row>
    <row r="43" spans="1:13" ht="15.75" customHeight="1" x14ac:dyDescent="0.25">
      <c r="A43" s="21">
        <v>2065</v>
      </c>
      <c r="B43" s="78">
        <f t="shared" si="13"/>
        <v>3.2500000000000027</v>
      </c>
      <c r="C43" s="78">
        <f t="shared" si="14"/>
        <v>4.2500000000000027</v>
      </c>
      <c r="D43" s="78">
        <f t="shared" si="15"/>
        <v>7.2500000000000027</v>
      </c>
      <c r="E43" s="78">
        <f t="shared" si="16"/>
        <v>9.2499999999999893</v>
      </c>
      <c r="F43" s="78">
        <f t="shared" si="17"/>
        <v>12.749999999999995</v>
      </c>
      <c r="G43" s="78">
        <f t="shared" si="18"/>
        <v>20</v>
      </c>
      <c r="H43" s="78">
        <f t="shared" si="19"/>
        <v>50</v>
      </c>
      <c r="I43" s="78">
        <f t="shared" si="20"/>
        <v>100</v>
      </c>
      <c r="J43" s="78">
        <f t="shared" si="21"/>
        <v>200</v>
      </c>
      <c r="K43" s="78">
        <f t="shared" si="22"/>
        <v>500</v>
      </c>
      <c r="L43" s="78">
        <f t="shared" si="23"/>
        <v>1000</v>
      </c>
      <c r="M43" s="78">
        <f t="shared" si="24"/>
        <v>5000</v>
      </c>
    </row>
    <row r="44" spans="1:13" ht="15.75" customHeight="1" x14ac:dyDescent="0.25">
      <c r="A44" s="21">
        <v>2066</v>
      </c>
      <c r="B44" s="78">
        <f t="shared" si="13"/>
        <v>3.2000000000000028</v>
      </c>
      <c r="C44" s="78">
        <f t="shared" si="14"/>
        <v>4.2000000000000028</v>
      </c>
      <c r="D44" s="78">
        <f t="shared" si="15"/>
        <v>7.2000000000000028</v>
      </c>
      <c r="E44" s="78">
        <f t="shared" si="16"/>
        <v>9.1999999999999886</v>
      </c>
      <c r="F44" s="78">
        <f t="shared" si="17"/>
        <v>12.599999999999994</v>
      </c>
      <c r="G44" s="78">
        <f t="shared" si="18"/>
        <v>20</v>
      </c>
      <c r="H44" s="78">
        <f t="shared" si="19"/>
        <v>50</v>
      </c>
      <c r="I44" s="78">
        <f t="shared" si="20"/>
        <v>100</v>
      </c>
      <c r="J44" s="78">
        <f t="shared" si="21"/>
        <v>200</v>
      </c>
      <c r="K44" s="78">
        <f t="shared" si="22"/>
        <v>500</v>
      </c>
      <c r="L44" s="78">
        <f t="shared" si="23"/>
        <v>1000</v>
      </c>
      <c r="M44" s="78">
        <f t="shared" si="24"/>
        <v>5000</v>
      </c>
    </row>
    <row r="45" spans="1:13" ht="15.75" customHeight="1" x14ac:dyDescent="0.25">
      <c r="A45" s="21">
        <v>2067</v>
      </c>
      <c r="B45" s="78">
        <f t="shared" si="13"/>
        <v>3.150000000000003</v>
      </c>
      <c r="C45" s="78">
        <f t="shared" si="14"/>
        <v>4.150000000000003</v>
      </c>
      <c r="D45" s="78">
        <f t="shared" si="15"/>
        <v>7.150000000000003</v>
      </c>
      <c r="E45" s="78">
        <f t="shared" si="16"/>
        <v>9.1499999999999879</v>
      </c>
      <c r="F45" s="78">
        <f t="shared" si="17"/>
        <v>12.449999999999994</v>
      </c>
      <c r="G45" s="78">
        <f t="shared" si="18"/>
        <v>20</v>
      </c>
      <c r="H45" s="78">
        <f t="shared" si="19"/>
        <v>50</v>
      </c>
      <c r="I45" s="78">
        <f t="shared" si="20"/>
        <v>100</v>
      </c>
      <c r="J45" s="78">
        <f t="shared" si="21"/>
        <v>200</v>
      </c>
      <c r="K45" s="78">
        <f t="shared" si="22"/>
        <v>500</v>
      </c>
      <c r="L45" s="78">
        <f t="shared" si="23"/>
        <v>1000</v>
      </c>
      <c r="M45" s="78">
        <f t="shared" si="24"/>
        <v>5000</v>
      </c>
    </row>
    <row r="46" spans="1:13" ht="15.75" customHeight="1" x14ac:dyDescent="0.25">
      <c r="A46" s="21">
        <v>2068</v>
      </c>
      <c r="B46" s="78">
        <f t="shared" si="13"/>
        <v>3.1000000000000032</v>
      </c>
      <c r="C46" s="78">
        <f t="shared" si="14"/>
        <v>4.1000000000000032</v>
      </c>
      <c r="D46" s="78">
        <f t="shared" si="15"/>
        <v>7.1000000000000032</v>
      </c>
      <c r="E46" s="78">
        <f t="shared" si="16"/>
        <v>9.0999999999999872</v>
      </c>
      <c r="F46" s="78">
        <f t="shared" si="17"/>
        <v>12.299999999999994</v>
      </c>
      <c r="G46" s="78">
        <f t="shared" si="18"/>
        <v>20</v>
      </c>
      <c r="H46" s="78">
        <f t="shared" si="19"/>
        <v>50</v>
      </c>
      <c r="I46" s="78">
        <f t="shared" si="20"/>
        <v>100</v>
      </c>
      <c r="J46" s="78">
        <f t="shared" si="21"/>
        <v>200</v>
      </c>
      <c r="K46" s="78">
        <f t="shared" si="22"/>
        <v>500</v>
      </c>
      <c r="L46" s="78">
        <f t="shared" si="23"/>
        <v>1000</v>
      </c>
      <c r="M46" s="78">
        <f t="shared" si="24"/>
        <v>5000</v>
      </c>
    </row>
    <row r="47" spans="1:13" ht="15.75" customHeight="1" x14ac:dyDescent="0.25">
      <c r="A47" s="21">
        <v>2069</v>
      </c>
      <c r="B47" s="78">
        <f t="shared" si="13"/>
        <v>3.0500000000000034</v>
      </c>
      <c r="C47" s="78">
        <f t="shared" si="14"/>
        <v>4.0500000000000034</v>
      </c>
      <c r="D47" s="78">
        <f t="shared" si="15"/>
        <v>7.0500000000000034</v>
      </c>
      <c r="E47" s="78">
        <f t="shared" si="16"/>
        <v>9.0499999999999865</v>
      </c>
      <c r="F47" s="78">
        <f t="shared" si="17"/>
        <v>12.149999999999993</v>
      </c>
      <c r="G47" s="78">
        <f t="shared" si="18"/>
        <v>20</v>
      </c>
      <c r="H47" s="78">
        <f t="shared" si="19"/>
        <v>50</v>
      </c>
      <c r="I47" s="78">
        <f t="shared" si="20"/>
        <v>100</v>
      </c>
      <c r="J47" s="78">
        <f t="shared" si="21"/>
        <v>200</v>
      </c>
      <c r="K47" s="78">
        <f t="shared" si="22"/>
        <v>500</v>
      </c>
      <c r="L47" s="78">
        <f t="shared" si="23"/>
        <v>1000</v>
      </c>
      <c r="M47" s="78">
        <f t="shared" si="24"/>
        <v>5000</v>
      </c>
    </row>
    <row r="48" spans="1:13" ht="15.75" customHeight="1" x14ac:dyDescent="0.25">
      <c r="A48" s="21">
        <v>2070</v>
      </c>
      <c r="B48" s="79">
        <v>3</v>
      </c>
      <c r="C48" s="79">
        <v>4</v>
      </c>
      <c r="D48" s="79">
        <v>7</v>
      </c>
      <c r="E48" s="79">
        <v>9</v>
      </c>
      <c r="F48" s="79">
        <v>12</v>
      </c>
      <c r="G48" s="79">
        <v>20</v>
      </c>
      <c r="H48" s="79">
        <v>50</v>
      </c>
      <c r="I48" s="79">
        <v>100</v>
      </c>
      <c r="J48" s="79">
        <v>200</v>
      </c>
      <c r="K48" s="79">
        <v>500</v>
      </c>
      <c r="L48" s="79">
        <v>1000</v>
      </c>
      <c r="M48" s="79">
        <v>5000</v>
      </c>
    </row>
    <row r="49" spans="1:13" ht="15.75" customHeight="1" x14ac:dyDescent="0.25">
      <c r="A49" s="21">
        <v>2071</v>
      </c>
      <c r="B49" s="78">
        <f t="shared" ref="B49:B57" si="25">B48+(B$58-B$48)/10</f>
        <v>3</v>
      </c>
      <c r="C49" s="78">
        <f t="shared" ref="C49:C57" si="26">C48+(C$58-C$48)/10</f>
        <v>4</v>
      </c>
      <c r="D49" s="78">
        <f t="shared" ref="D49:D57" si="27">D48+(D$58-D$48)/10</f>
        <v>7</v>
      </c>
      <c r="E49" s="78">
        <f t="shared" ref="E49:E57" si="28">E48+(E$58-E$48)/10</f>
        <v>9</v>
      </c>
      <c r="F49" s="78">
        <f t="shared" ref="F49:F57" si="29">F48+(F$58-F$48)/10</f>
        <v>11.8</v>
      </c>
      <c r="G49" s="78">
        <f t="shared" ref="G49:G57" si="30">G48+(G$58-G$48)/10</f>
        <v>20</v>
      </c>
      <c r="H49" s="78">
        <f t="shared" ref="H49:H57" si="31">H48+(H$58-H$48)/10</f>
        <v>50</v>
      </c>
      <c r="I49" s="78">
        <f t="shared" ref="I49:I57" si="32">I48+(I$58-I$48)/10</f>
        <v>100</v>
      </c>
      <c r="J49" s="78">
        <f t="shared" ref="J49:J57" si="33">J48+(J$58-J$48)/10</f>
        <v>200</v>
      </c>
      <c r="K49" s="78">
        <f t="shared" ref="K49:K57" si="34">K48+(K$58-K$48)/10</f>
        <v>500</v>
      </c>
      <c r="L49" s="78">
        <f t="shared" ref="L49:L57" si="35">L48+(L$58-L$48)/10</f>
        <v>1000</v>
      </c>
      <c r="M49" s="78">
        <f t="shared" ref="M49:M57" si="36">M48+(M$58-M$48)/10</f>
        <v>5000</v>
      </c>
    </row>
    <row r="50" spans="1:13" ht="15.75" customHeight="1" x14ac:dyDescent="0.25">
      <c r="A50" s="21">
        <v>2072</v>
      </c>
      <c r="B50" s="78">
        <f t="shared" si="25"/>
        <v>3</v>
      </c>
      <c r="C50" s="78">
        <f t="shared" si="26"/>
        <v>4</v>
      </c>
      <c r="D50" s="78">
        <f t="shared" si="27"/>
        <v>7</v>
      </c>
      <c r="E50" s="78">
        <f t="shared" si="28"/>
        <v>9</v>
      </c>
      <c r="F50" s="78">
        <f t="shared" si="29"/>
        <v>11.600000000000001</v>
      </c>
      <c r="G50" s="78">
        <f t="shared" si="30"/>
        <v>20</v>
      </c>
      <c r="H50" s="78">
        <f t="shared" si="31"/>
        <v>50</v>
      </c>
      <c r="I50" s="78">
        <f t="shared" si="32"/>
        <v>100</v>
      </c>
      <c r="J50" s="78">
        <f t="shared" si="33"/>
        <v>200</v>
      </c>
      <c r="K50" s="78">
        <f t="shared" si="34"/>
        <v>500</v>
      </c>
      <c r="L50" s="78">
        <f t="shared" si="35"/>
        <v>1000</v>
      </c>
      <c r="M50" s="78">
        <f t="shared" si="36"/>
        <v>5000</v>
      </c>
    </row>
    <row r="51" spans="1:13" ht="15.75" customHeight="1" x14ac:dyDescent="0.25">
      <c r="A51" s="21">
        <v>2073</v>
      </c>
      <c r="B51" s="78">
        <f t="shared" si="25"/>
        <v>3</v>
      </c>
      <c r="C51" s="78">
        <f t="shared" si="26"/>
        <v>4</v>
      </c>
      <c r="D51" s="78">
        <f t="shared" si="27"/>
        <v>7</v>
      </c>
      <c r="E51" s="78">
        <f t="shared" si="28"/>
        <v>9</v>
      </c>
      <c r="F51" s="78">
        <f t="shared" si="29"/>
        <v>11.400000000000002</v>
      </c>
      <c r="G51" s="78">
        <f t="shared" si="30"/>
        <v>20</v>
      </c>
      <c r="H51" s="78">
        <f t="shared" si="31"/>
        <v>50</v>
      </c>
      <c r="I51" s="78">
        <f t="shared" si="32"/>
        <v>100</v>
      </c>
      <c r="J51" s="78">
        <f t="shared" si="33"/>
        <v>200</v>
      </c>
      <c r="K51" s="78">
        <f t="shared" si="34"/>
        <v>500</v>
      </c>
      <c r="L51" s="78">
        <f t="shared" si="35"/>
        <v>1000</v>
      </c>
      <c r="M51" s="78">
        <f t="shared" si="36"/>
        <v>5000</v>
      </c>
    </row>
    <row r="52" spans="1:13" ht="15.75" customHeight="1" x14ac:dyDescent="0.25">
      <c r="A52" s="21">
        <v>2074</v>
      </c>
      <c r="B52" s="78">
        <f t="shared" si="25"/>
        <v>3</v>
      </c>
      <c r="C52" s="78">
        <f t="shared" si="26"/>
        <v>4</v>
      </c>
      <c r="D52" s="78">
        <f t="shared" si="27"/>
        <v>7</v>
      </c>
      <c r="E52" s="78">
        <f t="shared" si="28"/>
        <v>9</v>
      </c>
      <c r="F52" s="78">
        <f t="shared" si="29"/>
        <v>11.200000000000003</v>
      </c>
      <c r="G52" s="78">
        <f t="shared" si="30"/>
        <v>20</v>
      </c>
      <c r="H52" s="78">
        <f t="shared" si="31"/>
        <v>50</v>
      </c>
      <c r="I52" s="78">
        <f t="shared" si="32"/>
        <v>100</v>
      </c>
      <c r="J52" s="78">
        <f t="shared" si="33"/>
        <v>200</v>
      </c>
      <c r="K52" s="78">
        <f t="shared" si="34"/>
        <v>500</v>
      </c>
      <c r="L52" s="78">
        <f t="shared" si="35"/>
        <v>1000</v>
      </c>
      <c r="M52" s="78">
        <f t="shared" si="36"/>
        <v>5000</v>
      </c>
    </row>
    <row r="53" spans="1:13" ht="15.75" customHeight="1" x14ac:dyDescent="0.25">
      <c r="A53" s="21">
        <v>2075</v>
      </c>
      <c r="B53" s="78">
        <f t="shared" si="25"/>
        <v>3</v>
      </c>
      <c r="C53" s="78">
        <f t="shared" si="26"/>
        <v>4</v>
      </c>
      <c r="D53" s="78">
        <f t="shared" si="27"/>
        <v>7</v>
      </c>
      <c r="E53" s="78">
        <f t="shared" si="28"/>
        <v>9</v>
      </c>
      <c r="F53" s="78">
        <f t="shared" si="29"/>
        <v>11.000000000000004</v>
      </c>
      <c r="G53" s="78">
        <f t="shared" si="30"/>
        <v>20</v>
      </c>
      <c r="H53" s="78">
        <f t="shared" si="31"/>
        <v>50</v>
      </c>
      <c r="I53" s="78">
        <f t="shared" si="32"/>
        <v>100</v>
      </c>
      <c r="J53" s="78">
        <f t="shared" si="33"/>
        <v>200</v>
      </c>
      <c r="K53" s="78">
        <f t="shared" si="34"/>
        <v>500</v>
      </c>
      <c r="L53" s="78">
        <f t="shared" si="35"/>
        <v>1000</v>
      </c>
      <c r="M53" s="78">
        <f t="shared" si="36"/>
        <v>5000</v>
      </c>
    </row>
    <row r="54" spans="1:13" ht="15.75" customHeight="1" x14ac:dyDescent="0.25">
      <c r="A54" s="21">
        <v>2076</v>
      </c>
      <c r="B54" s="78">
        <f t="shared" si="25"/>
        <v>3</v>
      </c>
      <c r="C54" s="78">
        <f t="shared" si="26"/>
        <v>4</v>
      </c>
      <c r="D54" s="78">
        <f t="shared" si="27"/>
        <v>7</v>
      </c>
      <c r="E54" s="78">
        <f t="shared" si="28"/>
        <v>9</v>
      </c>
      <c r="F54" s="78">
        <f t="shared" si="29"/>
        <v>10.800000000000004</v>
      </c>
      <c r="G54" s="78">
        <f t="shared" si="30"/>
        <v>20</v>
      </c>
      <c r="H54" s="78">
        <f t="shared" si="31"/>
        <v>50</v>
      </c>
      <c r="I54" s="78">
        <f t="shared" si="32"/>
        <v>100</v>
      </c>
      <c r="J54" s="78">
        <f t="shared" si="33"/>
        <v>200</v>
      </c>
      <c r="K54" s="78">
        <f t="shared" si="34"/>
        <v>500</v>
      </c>
      <c r="L54" s="78">
        <f t="shared" si="35"/>
        <v>1000</v>
      </c>
      <c r="M54" s="78">
        <f t="shared" si="36"/>
        <v>5000</v>
      </c>
    </row>
    <row r="55" spans="1:13" ht="15.75" customHeight="1" x14ac:dyDescent="0.25">
      <c r="A55" s="21">
        <v>2077</v>
      </c>
      <c r="B55" s="78">
        <f t="shared" si="25"/>
        <v>3</v>
      </c>
      <c r="C55" s="78">
        <f t="shared" si="26"/>
        <v>4</v>
      </c>
      <c r="D55" s="78">
        <f t="shared" si="27"/>
        <v>7</v>
      </c>
      <c r="E55" s="78">
        <f t="shared" si="28"/>
        <v>9</v>
      </c>
      <c r="F55" s="78">
        <f t="shared" si="29"/>
        <v>10.600000000000005</v>
      </c>
      <c r="G55" s="78">
        <f t="shared" si="30"/>
        <v>20</v>
      </c>
      <c r="H55" s="78">
        <f t="shared" si="31"/>
        <v>50</v>
      </c>
      <c r="I55" s="78">
        <f t="shared" si="32"/>
        <v>100</v>
      </c>
      <c r="J55" s="78">
        <f t="shared" si="33"/>
        <v>200</v>
      </c>
      <c r="K55" s="78">
        <f t="shared" si="34"/>
        <v>500</v>
      </c>
      <c r="L55" s="78">
        <f t="shared" si="35"/>
        <v>1000</v>
      </c>
      <c r="M55" s="78">
        <f t="shared" si="36"/>
        <v>5000</v>
      </c>
    </row>
    <row r="56" spans="1:13" ht="15.75" customHeight="1" x14ac:dyDescent="0.25">
      <c r="A56" s="21">
        <v>2078</v>
      </c>
      <c r="B56" s="78">
        <f t="shared" si="25"/>
        <v>3</v>
      </c>
      <c r="C56" s="78">
        <f t="shared" si="26"/>
        <v>4</v>
      </c>
      <c r="D56" s="78">
        <f t="shared" si="27"/>
        <v>7</v>
      </c>
      <c r="E56" s="78">
        <f t="shared" si="28"/>
        <v>9</v>
      </c>
      <c r="F56" s="78">
        <f t="shared" si="29"/>
        <v>10.400000000000006</v>
      </c>
      <c r="G56" s="78">
        <f t="shared" si="30"/>
        <v>20</v>
      </c>
      <c r="H56" s="78">
        <f t="shared" si="31"/>
        <v>50</v>
      </c>
      <c r="I56" s="78">
        <f t="shared" si="32"/>
        <v>100</v>
      </c>
      <c r="J56" s="78">
        <f t="shared" si="33"/>
        <v>200</v>
      </c>
      <c r="K56" s="78">
        <f t="shared" si="34"/>
        <v>500</v>
      </c>
      <c r="L56" s="78">
        <f t="shared" si="35"/>
        <v>1000</v>
      </c>
      <c r="M56" s="78">
        <f t="shared" si="36"/>
        <v>5000</v>
      </c>
    </row>
    <row r="57" spans="1:13" ht="15.75" customHeight="1" x14ac:dyDescent="0.25">
      <c r="A57" s="21">
        <v>2079</v>
      </c>
      <c r="B57" s="78">
        <f t="shared" si="25"/>
        <v>3</v>
      </c>
      <c r="C57" s="78">
        <f t="shared" si="26"/>
        <v>4</v>
      </c>
      <c r="D57" s="78">
        <f t="shared" si="27"/>
        <v>7</v>
      </c>
      <c r="E57" s="78">
        <f t="shared" si="28"/>
        <v>9</v>
      </c>
      <c r="F57" s="78">
        <f t="shared" si="29"/>
        <v>10.200000000000006</v>
      </c>
      <c r="G57" s="78">
        <f t="shared" si="30"/>
        <v>20</v>
      </c>
      <c r="H57" s="78">
        <f t="shared" si="31"/>
        <v>50</v>
      </c>
      <c r="I57" s="78">
        <f t="shared" si="32"/>
        <v>100</v>
      </c>
      <c r="J57" s="78">
        <f t="shared" si="33"/>
        <v>200</v>
      </c>
      <c r="K57" s="78">
        <f t="shared" si="34"/>
        <v>500</v>
      </c>
      <c r="L57" s="78">
        <f t="shared" si="35"/>
        <v>1000</v>
      </c>
      <c r="M57" s="78">
        <f t="shared" si="36"/>
        <v>5000</v>
      </c>
    </row>
    <row r="58" spans="1:13" ht="15.75" customHeight="1" x14ac:dyDescent="0.25">
      <c r="A58" s="21">
        <v>2080</v>
      </c>
      <c r="B58" s="79">
        <v>3</v>
      </c>
      <c r="C58" s="79">
        <v>4</v>
      </c>
      <c r="D58" s="79">
        <v>7</v>
      </c>
      <c r="E58" s="79">
        <v>9</v>
      </c>
      <c r="F58" s="79">
        <v>10</v>
      </c>
      <c r="G58" s="79">
        <v>20</v>
      </c>
      <c r="H58" s="79">
        <v>50</v>
      </c>
      <c r="I58" s="79">
        <v>100</v>
      </c>
      <c r="J58" s="79">
        <v>200</v>
      </c>
      <c r="K58" s="79">
        <v>500</v>
      </c>
      <c r="L58" s="79">
        <v>1000</v>
      </c>
      <c r="M58" s="79">
        <v>5000</v>
      </c>
    </row>
    <row r="59" spans="1:13" ht="15.75" customHeight="1" x14ac:dyDescent="0.25">
      <c r="A59" s="21">
        <v>2081</v>
      </c>
      <c r="B59" s="78">
        <f t="shared" ref="B59:B77" si="37">B58+(B$78-B$58)/20</f>
        <v>3</v>
      </c>
      <c r="C59" s="78">
        <f t="shared" ref="C59:C77" si="38">C58+(C$78-C$58)/20</f>
        <v>4</v>
      </c>
      <c r="D59" s="78">
        <f t="shared" ref="D59:D77" si="39">D58+(D$78-D$58)/20</f>
        <v>6.95</v>
      </c>
      <c r="E59" s="78">
        <f t="shared" ref="E59:E77" si="40">E58+(E$78-E$58)/20</f>
        <v>8.9499999999999993</v>
      </c>
      <c r="F59" s="78">
        <f t="shared" ref="F59:F77" si="41">F58+(F$78-F$58)/20</f>
        <v>10</v>
      </c>
      <c r="G59" s="78">
        <f t="shared" ref="G59:G77" si="42">G58+(G$78-G$58)/20</f>
        <v>20</v>
      </c>
      <c r="H59" s="78">
        <f t="shared" ref="H59:H77" si="43">H58+(H$78-H$58)/20</f>
        <v>50</v>
      </c>
      <c r="I59" s="78">
        <f t="shared" ref="I59:I77" si="44">I58+(I$78-I$58)/20</f>
        <v>100</v>
      </c>
      <c r="J59" s="78">
        <f t="shared" ref="J59:J77" si="45">J58+(J$78-J$58)/20</f>
        <v>200</v>
      </c>
      <c r="K59" s="78">
        <f t="shared" ref="K59:K77" si="46">K58+(K$78-K$58)/20</f>
        <v>500</v>
      </c>
      <c r="L59" s="78">
        <f t="shared" ref="L59:L77" si="47">L58+(L$78-L$58)/20</f>
        <v>1000</v>
      </c>
      <c r="M59" s="78">
        <f t="shared" ref="M59:M77" si="48">M58+(M$78-M$58)/20</f>
        <v>5000</v>
      </c>
    </row>
    <row r="60" spans="1:13" ht="15.75" customHeight="1" x14ac:dyDescent="0.25">
      <c r="A60" s="21">
        <v>2082</v>
      </c>
      <c r="B60" s="78">
        <f t="shared" si="37"/>
        <v>3</v>
      </c>
      <c r="C60" s="78">
        <f t="shared" si="38"/>
        <v>4</v>
      </c>
      <c r="D60" s="78">
        <f t="shared" si="39"/>
        <v>6.9</v>
      </c>
      <c r="E60" s="78">
        <f t="shared" si="40"/>
        <v>8.8999999999999986</v>
      </c>
      <c r="F60" s="78">
        <f t="shared" si="41"/>
        <v>10</v>
      </c>
      <c r="G60" s="78">
        <f t="shared" si="42"/>
        <v>20</v>
      </c>
      <c r="H60" s="78">
        <f t="shared" si="43"/>
        <v>50</v>
      </c>
      <c r="I60" s="78">
        <f t="shared" si="44"/>
        <v>100</v>
      </c>
      <c r="J60" s="78">
        <f t="shared" si="45"/>
        <v>200</v>
      </c>
      <c r="K60" s="78">
        <f t="shared" si="46"/>
        <v>500</v>
      </c>
      <c r="L60" s="78">
        <f t="shared" si="47"/>
        <v>1000</v>
      </c>
      <c r="M60" s="78">
        <f t="shared" si="48"/>
        <v>5000</v>
      </c>
    </row>
    <row r="61" spans="1:13" ht="15.75" customHeight="1" x14ac:dyDescent="0.25">
      <c r="A61" s="21">
        <v>2083</v>
      </c>
      <c r="B61" s="78">
        <f t="shared" si="37"/>
        <v>3</v>
      </c>
      <c r="C61" s="78">
        <f t="shared" si="38"/>
        <v>4</v>
      </c>
      <c r="D61" s="78">
        <f t="shared" si="39"/>
        <v>6.8500000000000005</v>
      </c>
      <c r="E61" s="78">
        <f t="shared" si="40"/>
        <v>8.8499999999999979</v>
      </c>
      <c r="F61" s="78">
        <f t="shared" si="41"/>
        <v>10</v>
      </c>
      <c r="G61" s="78">
        <f t="shared" si="42"/>
        <v>20</v>
      </c>
      <c r="H61" s="78">
        <f t="shared" si="43"/>
        <v>50</v>
      </c>
      <c r="I61" s="78">
        <f t="shared" si="44"/>
        <v>100</v>
      </c>
      <c r="J61" s="78">
        <f t="shared" si="45"/>
        <v>200</v>
      </c>
      <c r="K61" s="78">
        <f t="shared" si="46"/>
        <v>500</v>
      </c>
      <c r="L61" s="78">
        <f t="shared" si="47"/>
        <v>1000</v>
      </c>
      <c r="M61" s="78">
        <f t="shared" si="48"/>
        <v>5000</v>
      </c>
    </row>
    <row r="62" spans="1:13" ht="15.75" customHeight="1" x14ac:dyDescent="0.25">
      <c r="A62" s="21">
        <v>2084</v>
      </c>
      <c r="B62" s="78">
        <f t="shared" si="37"/>
        <v>3</v>
      </c>
      <c r="C62" s="78">
        <f t="shared" si="38"/>
        <v>4</v>
      </c>
      <c r="D62" s="78">
        <f t="shared" si="39"/>
        <v>6.8000000000000007</v>
      </c>
      <c r="E62" s="78">
        <f t="shared" si="40"/>
        <v>8.7999999999999972</v>
      </c>
      <c r="F62" s="78">
        <f t="shared" si="41"/>
        <v>10</v>
      </c>
      <c r="G62" s="78">
        <f t="shared" si="42"/>
        <v>20</v>
      </c>
      <c r="H62" s="78">
        <f t="shared" si="43"/>
        <v>50</v>
      </c>
      <c r="I62" s="78">
        <f t="shared" si="44"/>
        <v>100</v>
      </c>
      <c r="J62" s="78">
        <f t="shared" si="45"/>
        <v>200</v>
      </c>
      <c r="K62" s="78">
        <f t="shared" si="46"/>
        <v>500</v>
      </c>
      <c r="L62" s="78">
        <f t="shared" si="47"/>
        <v>1000</v>
      </c>
      <c r="M62" s="78">
        <f t="shared" si="48"/>
        <v>5000</v>
      </c>
    </row>
    <row r="63" spans="1:13" ht="15.75" customHeight="1" x14ac:dyDescent="0.25">
      <c r="A63" s="21">
        <v>2085</v>
      </c>
      <c r="B63" s="78">
        <f t="shared" si="37"/>
        <v>3</v>
      </c>
      <c r="C63" s="78">
        <f t="shared" si="38"/>
        <v>4</v>
      </c>
      <c r="D63" s="78">
        <f t="shared" si="39"/>
        <v>6.7500000000000009</v>
      </c>
      <c r="E63" s="78">
        <f t="shared" si="40"/>
        <v>8.7499999999999964</v>
      </c>
      <c r="F63" s="78">
        <f t="shared" si="41"/>
        <v>10</v>
      </c>
      <c r="G63" s="78">
        <f t="shared" si="42"/>
        <v>20</v>
      </c>
      <c r="H63" s="78">
        <f t="shared" si="43"/>
        <v>50</v>
      </c>
      <c r="I63" s="78">
        <f t="shared" si="44"/>
        <v>100</v>
      </c>
      <c r="J63" s="78">
        <f t="shared" si="45"/>
        <v>200</v>
      </c>
      <c r="K63" s="78">
        <f t="shared" si="46"/>
        <v>500</v>
      </c>
      <c r="L63" s="78">
        <f t="shared" si="47"/>
        <v>1000</v>
      </c>
      <c r="M63" s="78">
        <f t="shared" si="48"/>
        <v>5000</v>
      </c>
    </row>
    <row r="64" spans="1:13" ht="15.75" customHeight="1" x14ac:dyDescent="0.25">
      <c r="A64" s="21">
        <v>2086</v>
      </c>
      <c r="B64" s="78">
        <f t="shared" si="37"/>
        <v>3</v>
      </c>
      <c r="C64" s="78">
        <f t="shared" si="38"/>
        <v>4</v>
      </c>
      <c r="D64" s="78">
        <f t="shared" si="39"/>
        <v>6.7000000000000011</v>
      </c>
      <c r="E64" s="78">
        <f t="shared" si="40"/>
        <v>8.6999999999999957</v>
      </c>
      <c r="F64" s="78">
        <f t="shared" si="41"/>
        <v>10</v>
      </c>
      <c r="G64" s="78">
        <f t="shared" si="42"/>
        <v>20</v>
      </c>
      <c r="H64" s="78">
        <f t="shared" si="43"/>
        <v>50</v>
      </c>
      <c r="I64" s="78">
        <f t="shared" si="44"/>
        <v>100</v>
      </c>
      <c r="J64" s="78">
        <f t="shared" si="45"/>
        <v>200</v>
      </c>
      <c r="K64" s="78">
        <f t="shared" si="46"/>
        <v>500</v>
      </c>
      <c r="L64" s="78">
        <f t="shared" si="47"/>
        <v>1000</v>
      </c>
      <c r="M64" s="78">
        <f t="shared" si="48"/>
        <v>5000</v>
      </c>
    </row>
    <row r="65" spans="1:13" ht="15.75" customHeight="1" x14ac:dyDescent="0.25">
      <c r="A65" s="21">
        <v>2087</v>
      </c>
      <c r="B65" s="78">
        <f t="shared" si="37"/>
        <v>3</v>
      </c>
      <c r="C65" s="78">
        <f t="shared" si="38"/>
        <v>4</v>
      </c>
      <c r="D65" s="78">
        <f t="shared" si="39"/>
        <v>6.6500000000000012</v>
      </c>
      <c r="E65" s="78">
        <f t="shared" si="40"/>
        <v>8.649999999999995</v>
      </c>
      <c r="F65" s="78">
        <f t="shared" si="41"/>
        <v>10</v>
      </c>
      <c r="G65" s="78">
        <f t="shared" si="42"/>
        <v>20</v>
      </c>
      <c r="H65" s="78">
        <f t="shared" si="43"/>
        <v>50</v>
      </c>
      <c r="I65" s="78">
        <f t="shared" si="44"/>
        <v>100</v>
      </c>
      <c r="J65" s="78">
        <f t="shared" si="45"/>
        <v>200</v>
      </c>
      <c r="K65" s="78">
        <f t="shared" si="46"/>
        <v>500</v>
      </c>
      <c r="L65" s="78">
        <f t="shared" si="47"/>
        <v>1000</v>
      </c>
      <c r="M65" s="78">
        <f t="shared" si="48"/>
        <v>5000</v>
      </c>
    </row>
    <row r="66" spans="1:13" ht="15.75" customHeight="1" x14ac:dyDescent="0.25">
      <c r="A66" s="21">
        <v>2088</v>
      </c>
      <c r="B66" s="78">
        <f t="shared" si="37"/>
        <v>3</v>
      </c>
      <c r="C66" s="78">
        <f t="shared" si="38"/>
        <v>4</v>
      </c>
      <c r="D66" s="78">
        <f t="shared" si="39"/>
        <v>6.6000000000000014</v>
      </c>
      <c r="E66" s="78">
        <f t="shared" si="40"/>
        <v>8.5999999999999943</v>
      </c>
      <c r="F66" s="78">
        <f t="shared" si="41"/>
        <v>10</v>
      </c>
      <c r="G66" s="78">
        <f t="shared" si="42"/>
        <v>20</v>
      </c>
      <c r="H66" s="78">
        <f t="shared" si="43"/>
        <v>50</v>
      </c>
      <c r="I66" s="78">
        <f t="shared" si="44"/>
        <v>100</v>
      </c>
      <c r="J66" s="78">
        <f t="shared" si="45"/>
        <v>200</v>
      </c>
      <c r="K66" s="78">
        <f t="shared" si="46"/>
        <v>500</v>
      </c>
      <c r="L66" s="78">
        <f t="shared" si="47"/>
        <v>1000</v>
      </c>
      <c r="M66" s="78">
        <f t="shared" si="48"/>
        <v>5000</v>
      </c>
    </row>
    <row r="67" spans="1:13" ht="15.75" customHeight="1" x14ac:dyDescent="0.25">
      <c r="A67" s="21">
        <v>2089</v>
      </c>
      <c r="B67" s="78">
        <f t="shared" si="37"/>
        <v>3</v>
      </c>
      <c r="C67" s="78">
        <f t="shared" si="38"/>
        <v>4</v>
      </c>
      <c r="D67" s="78">
        <f t="shared" si="39"/>
        <v>6.5500000000000016</v>
      </c>
      <c r="E67" s="78">
        <f t="shared" si="40"/>
        <v>8.5499999999999936</v>
      </c>
      <c r="F67" s="78">
        <f t="shared" si="41"/>
        <v>10</v>
      </c>
      <c r="G67" s="78">
        <f t="shared" si="42"/>
        <v>20</v>
      </c>
      <c r="H67" s="78">
        <f t="shared" si="43"/>
        <v>50</v>
      </c>
      <c r="I67" s="78">
        <f t="shared" si="44"/>
        <v>100</v>
      </c>
      <c r="J67" s="78">
        <f t="shared" si="45"/>
        <v>200</v>
      </c>
      <c r="K67" s="78">
        <f t="shared" si="46"/>
        <v>500</v>
      </c>
      <c r="L67" s="78">
        <f t="shared" si="47"/>
        <v>1000</v>
      </c>
      <c r="M67" s="78">
        <f t="shared" si="48"/>
        <v>5000</v>
      </c>
    </row>
    <row r="68" spans="1:13" ht="15.75" customHeight="1" x14ac:dyDescent="0.25">
      <c r="A68" s="21">
        <v>2090</v>
      </c>
      <c r="B68" s="78">
        <f t="shared" si="37"/>
        <v>3</v>
      </c>
      <c r="C68" s="78">
        <f t="shared" si="38"/>
        <v>4</v>
      </c>
      <c r="D68" s="78">
        <f t="shared" si="39"/>
        <v>6.5000000000000018</v>
      </c>
      <c r="E68" s="78">
        <f t="shared" si="40"/>
        <v>8.4999999999999929</v>
      </c>
      <c r="F68" s="78">
        <f t="shared" si="41"/>
        <v>10</v>
      </c>
      <c r="G68" s="78">
        <f t="shared" si="42"/>
        <v>20</v>
      </c>
      <c r="H68" s="78">
        <f t="shared" si="43"/>
        <v>50</v>
      </c>
      <c r="I68" s="78">
        <f t="shared" si="44"/>
        <v>100</v>
      </c>
      <c r="J68" s="78">
        <f t="shared" si="45"/>
        <v>200</v>
      </c>
      <c r="K68" s="78">
        <f t="shared" si="46"/>
        <v>500</v>
      </c>
      <c r="L68" s="78">
        <f t="shared" si="47"/>
        <v>1000</v>
      </c>
      <c r="M68" s="78">
        <f t="shared" si="48"/>
        <v>5000</v>
      </c>
    </row>
    <row r="69" spans="1:13" ht="15.75" customHeight="1" x14ac:dyDescent="0.25">
      <c r="A69" s="21">
        <v>2091</v>
      </c>
      <c r="B69" s="78">
        <f t="shared" si="37"/>
        <v>3</v>
      </c>
      <c r="C69" s="78">
        <f t="shared" si="38"/>
        <v>4</v>
      </c>
      <c r="D69" s="78">
        <f t="shared" si="39"/>
        <v>6.450000000000002</v>
      </c>
      <c r="E69" s="78">
        <f t="shared" si="40"/>
        <v>8.4499999999999922</v>
      </c>
      <c r="F69" s="78">
        <f t="shared" si="41"/>
        <v>10</v>
      </c>
      <c r="G69" s="78">
        <f t="shared" si="42"/>
        <v>20</v>
      </c>
      <c r="H69" s="78">
        <f t="shared" si="43"/>
        <v>50</v>
      </c>
      <c r="I69" s="78">
        <f t="shared" si="44"/>
        <v>100</v>
      </c>
      <c r="J69" s="78">
        <f t="shared" si="45"/>
        <v>200</v>
      </c>
      <c r="K69" s="78">
        <f t="shared" si="46"/>
        <v>500</v>
      </c>
      <c r="L69" s="78">
        <f t="shared" si="47"/>
        <v>1000</v>
      </c>
      <c r="M69" s="78">
        <f t="shared" si="48"/>
        <v>5000</v>
      </c>
    </row>
    <row r="70" spans="1:13" ht="15.75" customHeight="1" x14ac:dyDescent="0.25">
      <c r="A70" s="21">
        <v>2092</v>
      </c>
      <c r="B70" s="78">
        <f t="shared" si="37"/>
        <v>3</v>
      </c>
      <c r="C70" s="78">
        <f t="shared" si="38"/>
        <v>4</v>
      </c>
      <c r="D70" s="78">
        <f t="shared" si="39"/>
        <v>6.4000000000000021</v>
      </c>
      <c r="E70" s="78">
        <f t="shared" si="40"/>
        <v>8.3999999999999915</v>
      </c>
      <c r="F70" s="78">
        <f t="shared" si="41"/>
        <v>10</v>
      </c>
      <c r="G70" s="78">
        <f t="shared" si="42"/>
        <v>20</v>
      </c>
      <c r="H70" s="78">
        <f t="shared" si="43"/>
        <v>50</v>
      </c>
      <c r="I70" s="78">
        <f t="shared" si="44"/>
        <v>100</v>
      </c>
      <c r="J70" s="78">
        <f t="shared" si="45"/>
        <v>200</v>
      </c>
      <c r="K70" s="78">
        <f t="shared" si="46"/>
        <v>500</v>
      </c>
      <c r="L70" s="78">
        <f t="shared" si="47"/>
        <v>1000</v>
      </c>
      <c r="M70" s="78">
        <f t="shared" si="48"/>
        <v>5000</v>
      </c>
    </row>
    <row r="71" spans="1:13" ht="15.75" customHeight="1" x14ac:dyDescent="0.25">
      <c r="A71" s="21">
        <v>2093</v>
      </c>
      <c r="B71" s="78">
        <f t="shared" si="37"/>
        <v>3</v>
      </c>
      <c r="C71" s="78">
        <f t="shared" si="38"/>
        <v>4</v>
      </c>
      <c r="D71" s="78">
        <f t="shared" si="39"/>
        <v>6.3500000000000023</v>
      </c>
      <c r="E71" s="78">
        <f t="shared" si="40"/>
        <v>8.3499999999999908</v>
      </c>
      <c r="F71" s="78">
        <f t="shared" si="41"/>
        <v>10</v>
      </c>
      <c r="G71" s="78">
        <f t="shared" si="42"/>
        <v>20</v>
      </c>
      <c r="H71" s="78">
        <f t="shared" si="43"/>
        <v>50</v>
      </c>
      <c r="I71" s="78">
        <f t="shared" si="44"/>
        <v>100</v>
      </c>
      <c r="J71" s="78">
        <f t="shared" si="45"/>
        <v>200</v>
      </c>
      <c r="K71" s="78">
        <f t="shared" si="46"/>
        <v>500</v>
      </c>
      <c r="L71" s="78">
        <f t="shared" si="47"/>
        <v>1000</v>
      </c>
      <c r="M71" s="78">
        <f t="shared" si="48"/>
        <v>5000</v>
      </c>
    </row>
    <row r="72" spans="1:13" ht="15.75" customHeight="1" x14ac:dyDescent="0.25">
      <c r="A72" s="21">
        <v>2094</v>
      </c>
      <c r="B72" s="78">
        <f t="shared" si="37"/>
        <v>3</v>
      </c>
      <c r="C72" s="78">
        <f t="shared" si="38"/>
        <v>4</v>
      </c>
      <c r="D72" s="78">
        <f t="shared" si="39"/>
        <v>6.3000000000000025</v>
      </c>
      <c r="E72" s="78">
        <f t="shared" si="40"/>
        <v>8.2999999999999901</v>
      </c>
      <c r="F72" s="78">
        <f t="shared" si="41"/>
        <v>10</v>
      </c>
      <c r="G72" s="78">
        <f t="shared" si="42"/>
        <v>20</v>
      </c>
      <c r="H72" s="78">
        <f t="shared" si="43"/>
        <v>50</v>
      </c>
      <c r="I72" s="78">
        <f t="shared" si="44"/>
        <v>100</v>
      </c>
      <c r="J72" s="78">
        <f t="shared" si="45"/>
        <v>200</v>
      </c>
      <c r="K72" s="78">
        <f t="shared" si="46"/>
        <v>500</v>
      </c>
      <c r="L72" s="78">
        <f t="shared" si="47"/>
        <v>1000</v>
      </c>
      <c r="M72" s="78">
        <f t="shared" si="48"/>
        <v>5000</v>
      </c>
    </row>
    <row r="73" spans="1:13" ht="15.75" customHeight="1" x14ac:dyDescent="0.25">
      <c r="A73" s="21">
        <v>2095</v>
      </c>
      <c r="B73" s="78">
        <f t="shared" si="37"/>
        <v>3</v>
      </c>
      <c r="C73" s="78">
        <f t="shared" si="38"/>
        <v>4</v>
      </c>
      <c r="D73" s="78">
        <f t="shared" si="39"/>
        <v>6.2500000000000027</v>
      </c>
      <c r="E73" s="78">
        <f t="shared" si="40"/>
        <v>8.2499999999999893</v>
      </c>
      <c r="F73" s="78">
        <f t="shared" si="41"/>
        <v>10</v>
      </c>
      <c r="G73" s="78">
        <f t="shared" si="42"/>
        <v>20</v>
      </c>
      <c r="H73" s="78">
        <f t="shared" si="43"/>
        <v>50</v>
      </c>
      <c r="I73" s="78">
        <f t="shared" si="44"/>
        <v>100</v>
      </c>
      <c r="J73" s="78">
        <f t="shared" si="45"/>
        <v>200</v>
      </c>
      <c r="K73" s="78">
        <f t="shared" si="46"/>
        <v>500</v>
      </c>
      <c r="L73" s="78">
        <f t="shared" si="47"/>
        <v>1000</v>
      </c>
      <c r="M73" s="78">
        <f t="shared" si="48"/>
        <v>5000</v>
      </c>
    </row>
    <row r="74" spans="1:13" ht="15.75" customHeight="1" x14ac:dyDescent="0.25">
      <c r="A74" s="21">
        <v>2096</v>
      </c>
      <c r="B74" s="78">
        <f t="shared" si="37"/>
        <v>3</v>
      </c>
      <c r="C74" s="78">
        <f t="shared" si="38"/>
        <v>4</v>
      </c>
      <c r="D74" s="78">
        <f t="shared" si="39"/>
        <v>6.2000000000000028</v>
      </c>
      <c r="E74" s="78">
        <f t="shared" si="40"/>
        <v>8.1999999999999886</v>
      </c>
      <c r="F74" s="78">
        <f t="shared" si="41"/>
        <v>10</v>
      </c>
      <c r="G74" s="78">
        <f t="shared" si="42"/>
        <v>20</v>
      </c>
      <c r="H74" s="78">
        <f t="shared" si="43"/>
        <v>50</v>
      </c>
      <c r="I74" s="78">
        <f t="shared" si="44"/>
        <v>100</v>
      </c>
      <c r="J74" s="78">
        <f t="shared" si="45"/>
        <v>200</v>
      </c>
      <c r="K74" s="78">
        <f t="shared" si="46"/>
        <v>500</v>
      </c>
      <c r="L74" s="78">
        <f t="shared" si="47"/>
        <v>1000</v>
      </c>
      <c r="M74" s="78">
        <f t="shared" si="48"/>
        <v>5000</v>
      </c>
    </row>
    <row r="75" spans="1:13" ht="15.75" customHeight="1" x14ac:dyDescent="0.25">
      <c r="A75" s="21">
        <v>2097</v>
      </c>
      <c r="B75" s="78">
        <f t="shared" si="37"/>
        <v>3</v>
      </c>
      <c r="C75" s="78">
        <f t="shared" si="38"/>
        <v>4</v>
      </c>
      <c r="D75" s="78">
        <f t="shared" si="39"/>
        <v>6.150000000000003</v>
      </c>
      <c r="E75" s="78">
        <f t="shared" si="40"/>
        <v>8.1499999999999879</v>
      </c>
      <c r="F75" s="78">
        <f t="shared" si="41"/>
        <v>10</v>
      </c>
      <c r="G75" s="78">
        <f t="shared" si="42"/>
        <v>20</v>
      </c>
      <c r="H75" s="78">
        <f t="shared" si="43"/>
        <v>50</v>
      </c>
      <c r="I75" s="78">
        <f t="shared" si="44"/>
        <v>100</v>
      </c>
      <c r="J75" s="78">
        <f t="shared" si="45"/>
        <v>200</v>
      </c>
      <c r="K75" s="78">
        <f t="shared" si="46"/>
        <v>500</v>
      </c>
      <c r="L75" s="78">
        <f t="shared" si="47"/>
        <v>1000</v>
      </c>
      <c r="M75" s="78">
        <f t="shared" si="48"/>
        <v>5000</v>
      </c>
    </row>
    <row r="76" spans="1:13" ht="15.75" customHeight="1" x14ac:dyDescent="0.25">
      <c r="A76" s="21">
        <v>2098</v>
      </c>
      <c r="B76" s="78">
        <f t="shared" si="37"/>
        <v>3</v>
      </c>
      <c r="C76" s="78">
        <f t="shared" si="38"/>
        <v>4</v>
      </c>
      <c r="D76" s="78">
        <f t="shared" si="39"/>
        <v>6.1000000000000032</v>
      </c>
      <c r="E76" s="78">
        <f t="shared" si="40"/>
        <v>8.0999999999999872</v>
      </c>
      <c r="F76" s="78">
        <f t="shared" si="41"/>
        <v>10</v>
      </c>
      <c r="G76" s="78">
        <f t="shared" si="42"/>
        <v>20</v>
      </c>
      <c r="H76" s="78">
        <f t="shared" si="43"/>
        <v>50</v>
      </c>
      <c r="I76" s="78">
        <f t="shared" si="44"/>
        <v>100</v>
      </c>
      <c r="J76" s="78">
        <f t="shared" si="45"/>
        <v>200</v>
      </c>
      <c r="K76" s="78">
        <f t="shared" si="46"/>
        <v>500</v>
      </c>
      <c r="L76" s="78">
        <f t="shared" si="47"/>
        <v>1000</v>
      </c>
      <c r="M76" s="78">
        <f t="shared" si="48"/>
        <v>5000</v>
      </c>
    </row>
    <row r="77" spans="1:13" ht="15.75" customHeight="1" x14ac:dyDescent="0.25">
      <c r="A77" s="21">
        <v>2099</v>
      </c>
      <c r="B77" s="78">
        <f t="shared" si="37"/>
        <v>3</v>
      </c>
      <c r="C77" s="78">
        <f t="shared" si="38"/>
        <v>4</v>
      </c>
      <c r="D77" s="78">
        <f t="shared" si="39"/>
        <v>6.0500000000000034</v>
      </c>
      <c r="E77" s="78">
        <f t="shared" si="40"/>
        <v>8.0499999999999865</v>
      </c>
      <c r="F77" s="78">
        <f t="shared" si="41"/>
        <v>10</v>
      </c>
      <c r="G77" s="78">
        <f t="shared" si="42"/>
        <v>20</v>
      </c>
      <c r="H77" s="78">
        <f t="shared" si="43"/>
        <v>50</v>
      </c>
      <c r="I77" s="78">
        <f t="shared" si="44"/>
        <v>100</v>
      </c>
      <c r="J77" s="78">
        <f t="shared" si="45"/>
        <v>200</v>
      </c>
      <c r="K77" s="78">
        <f t="shared" si="46"/>
        <v>500</v>
      </c>
      <c r="L77" s="78">
        <f t="shared" si="47"/>
        <v>1000</v>
      </c>
      <c r="M77" s="78">
        <f t="shared" si="48"/>
        <v>5000</v>
      </c>
    </row>
    <row r="78" spans="1:13" ht="15.75" customHeight="1" x14ac:dyDescent="0.25">
      <c r="A78" s="21">
        <v>2100</v>
      </c>
      <c r="B78" s="79">
        <v>3</v>
      </c>
      <c r="C78" s="79">
        <v>4</v>
      </c>
      <c r="D78" s="79">
        <v>6</v>
      </c>
      <c r="E78" s="79">
        <v>8</v>
      </c>
      <c r="F78" s="79">
        <v>10</v>
      </c>
      <c r="G78" s="79">
        <v>20</v>
      </c>
      <c r="H78" s="79">
        <v>50</v>
      </c>
      <c r="I78" s="79">
        <v>100</v>
      </c>
      <c r="J78" s="79">
        <v>200</v>
      </c>
      <c r="K78" s="79">
        <v>500</v>
      </c>
      <c r="L78" s="79">
        <v>1000</v>
      </c>
      <c r="M78" s="79">
        <v>5000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1F955"/>
  </sheetPr>
  <dimension ref="A1:N78"/>
  <sheetViews>
    <sheetView workbookViewId="0">
      <pane xSplit="1" ySplit="3" topLeftCell="B52" activePane="bottomRight" state="frozen"/>
      <selection activeCell="F79" sqref="F79"/>
      <selection pane="topRight" activeCell="F79" sqref="F79"/>
      <selection pane="bottomLeft" activeCell="F79" sqref="F79"/>
      <selection pane="bottomRight" activeCell="M78" sqref="B52:M78"/>
    </sheetView>
  </sheetViews>
  <sheetFormatPr baseColWidth="10" defaultColWidth="11.42578125" defaultRowHeight="15" x14ac:dyDescent="0.25"/>
  <cols>
    <col min="1" max="1" width="15" customWidth="1"/>
    <col min="2" max="2" width="12.7109375" customWidth="1"/>
  </cols>
  <sheetData>
    <row r="1" spans="1:14" ht="15.75" customHeight="1" x14ac:dyDescent="0.25">
      <c r="A1" s="1" t="s">
        <v>56</v>
      </c>
      <c r="B1" s="1"/>
      <c r="C1" s="1"/>
      <c r="D1" s="1"/>
      <c r="E1" s="1"/>
      <c r="F1" s="1"/>
      <c r="G1" s="1"/>
      <c r="H1" s="1"/>
      <c r="I1" s="1"/>
      <c r="J1" s="1"/>
      <c r="K1" s="1"/>
      <c r="L1" s="1"/>
      <c r="M1" s="1"/>
      <c r="N1" s="1"/>
    </row>
    <row r="2" spans="1:14" ht="15.75" customHeight="1" x14ac:dyDescent="0.25">
      <c r="A2" s="1"/>
      <c r="B2" s="1"/>
      <c r="C2" s="1"/>
      <c r="D2" s="1"/>
      <c r="E2" s="1"/>
      <c r="F2" s="1"/>
      <c r="G2" s="1"/>
      <c r="H2" s="1"/>
      <c r="I2" s="1"/>
      <c r="J2" s="1"/>
      <c r="K2" s="1"/>
      <c r="L2" s="1"/>
      <c r="M2" s="1"/>
      <c r="N2" s="1"/>
    </row>
    <row r="3" spans="1:14" ht="15.75" customHeight="1" x14ac:dyDescent="0.25">
      <c r="A3" s="21" t="s">
        <v>18</v>
      </c>
      <c r="B3" s="21" t="s">
        <v>57</v>
      </c>
      <c r="C3" s="21" t="s">
        <v>58</v>
      </c>
      <c r="D3" s="21" t="s">
        <v>59</v>
      </c>
      <c r="E3" s="21" t="s">
        <v>60</v>
      </c>
      <c r="F3" s="21" t="s">
        <v>61</v>
      </c>
      <c r="G3" s="21" t="s">
        <v>62</v>
      </c>
      <c r="H3" s="21" t="s">
        <v>63</v>
      </c>
      <c r="I3" s="21" t="s">
        <v>64</v>
      </c>
      <c r="J3" s="21" t="s">
        <v>65</v>
      </c>
      <c r="K3" s="21" t="s">
        <v>66</v>
      </c>
      <c r="L3" s="21" t="s">
        <v>67</v>
      </c>
      <c r="M3" s="21" t="s">
        <v>68</v>
      </c>
      <c r="N3" s="1"/>
    </row>
    <row r="4" spans="1:14" ht="15.75" customHeight="1" x14ac:dyDescent="0.25">
      <c r="A4" s="21">
        <v>2026</v>
      </c>
      <c r="B4" s="65">
        <f>TE5f!$A7</f>
        <v>5</v>
      </c>
      <c r="C4" s="65">
        <f>TE5f!$A8</f>
        <v>7</v>
      </c>
      <c r="D4" s="65">
        <f>TE5f!$A9</f>
        <v>10</v>
      </c>
      <c r="E4" s="65">
        <f>TE5f!$A10</f>
        <v>12</v>
      </c>
      <c r="F4" s="65">
        <f>TE5f!$A11</f>
        <v>15</v>
      </c>
      <c r="G4" s="65">
        <f>TE5f!$A12</f>
        <v>20</v>
      </c>
      <c r="H4" s="65">
        <f>TE5f!$A13</f>
        <v>50</v>
      </c>
      <c r="I4" s="65">
        <f>TE5f!$A14</f>
        <v>100</v>
      </c>
      <c r="J4" s="65">
        <f>TE5f!$A15</f>
        <v>200</v>
      </c>
      <c r="K4" s="65">
        <f>TE5f!$A16</f>
        <v>500</v>
      </c>
      <c r="L4" s="65">
        <f>TE5f!$A17</f>
        <v>1000</v>
      </c>
      <c r="M4" s="65">
        <f>TE5f!$A18</f>
        <v>5000</v>
      </c>
      <c r="N4" s="1"/>
    </row>
    <row r="5" spans="1:14" ht="15.75" customHeight="1" x14ac:dyDescent="0.25">
      <c r="A5" s="21">
        <v>2027</v>
      </c>
      <c r="B5" s="66">
        <f t="shared" ref="B5:M12" si="0">B4+(B$13-B$4)/9</f>
        <v>4.8888888888888893</v>
      </c>
      <c r="C5" s="66">
        <f t="shared" si="0"/>
        <v>6.8888888888888893</v>
      </c>
      <c r="D5" s="66">
        <f t="shared" si="0"/>
        <v>9.7777777777777786</v>
      </c>
      <c r="E5" s="66">
        <f t="shared" si="0"/>
        <v>11.777777777777779</v>
      </c>
      <c r="F5" s="66">
        <f t="shared" si="0"/>
        <v>15</v>
      </c>
      <c r="G5" s="66">
        <f t="shared" si="0"/>
        <v>20</v>
      </c>
      <c r="H5" s="66">
        <f t="shared" si="0"/>
        <v>50</v>
      </c>
      <c r="I5" s="66">
        <f t="shared" si="0"/>
        <v>100</v>
      </c>
      <c r="J5" s="66">
        <f t="shared" si="0"/>
        <v>200</v>
      </c>
      <c r="K5" s="66">
        <f t="shared" si="0"/>
        <v>500</v>
      </c>
      <c r="L5" s="66">
        <f t="shared" si="0"/>
        <v>1000</v>
      </c>
      <c r="M5" s="66">
        <f t="shared" si="0"/>
        <v>5000</v>
      </c>
      <c r="N5" s="1"/>
    </row>
    <row r="6" spans="1:14" ht="15.75" customHeight="1" x14ac:dyDescent="0.25">
      <c r="A6" s="21">
        <v>2028</v>
      </c>
      <c r="B6" s="66">
        <f t="shared" si="0"/>
        <v>4.7777777777777786</v>
      </c>
      <c r="C6" s="66">
        <f t="shared" si="0"/>
        <v>6.7777777777777786</v>
      </c>
      <c r="D6" s="66">
        <f t="shared" si="0"/>
        <v>9.5555555555555571</v>
      </c>
      <c r="E6" s="66">
        <f t="shared" si="0"/>
        <v>11.555555555555557</v>
      </c>
      <c r="F6" s="66">
        <f t="shared" si="0"/>
        <v>15</v>
      </c>
      <c r="G6" s="66">
        <f t="shared" si="0"/>
        <v>20</v>
      </c>
      <c r="H6" s="66">
        <f t="shared" si="0"/>
        <v>50</v>
      </c>
      <c r="I6" s="66">
        <f t="shared" si="0"/>
        <v>100</v>
      </c>
      <c r="J6" s="66">
        <f t="shared" si="0"/>
        <v>200</v>
      </c>
      <c r="K6" s="66">
        <f t="shared" si="0"/>
        <v>500</v>
      </c>
      <c r="L6" s="66">
        <f t="shared" si="0"/>
        <v>1000</v>
      </c>
      <c r="M6" s="66">
        <f t="shared" si="0"/>
        <v>5000</v>
      </c>
      <c r="N6" s="1"/>
    </row>
    <row r="7" spans="1:14" ht="15.75" customHeight="1" x14ac:dyDescent="0.25">
      <c r="A7" s="21">
        <v>2029</v>
      </c>
      <c r="B7" s="66">
        <f t="shared" si="0"/>
        <v>4.6666666666666679</v>
      </c>
      <c r="C7" s="66">
        <f t="shared" si="0"/>
        <v>6.6666666666666679</v>
      </c>
      <c r="D7" s="66">
        <f t="shared" si="0"/>
        <v>9.3333333333333357</v>
      </c>
      <c r="E7" s="66">
        <f t="shared" si="0"/>
        <v>11.333333333333336</v>
      </c>
      <c r="F7" s="66">
        <f t="shared" si="0"/>
        <v>15</v>
      </c>
      <c r="G7" s="66">
        <f t="shared" si="0"/>
        <v>20</v>
      </c>
      <c r="H7" s="66">
        <f t="shared" si="0"/>
        <v>50</v>
      </c>
      <c r="I7" s="66">
        <f t="shared" si="0"/>
        <v>100</v>
      </c>
      <c r="J7" s="66">
        <f t="shared" si="0"/>
        <v>200</v>
      </c>
      <c r="K7" s="66">
        <f t="shared" si="0"/>
        <v>500</v>
      </c>
      <c r="L7" s="66">
        <f t="shared" si="0"/>
        <v>1000</v>
      </c>
      <c r="M7" s="66">
        <f t="shared" si="0"/>
        <v>5000</v>
      </c>
      <c r="N7" s="1"/>
    </row>
    <row r="8" spans="1:14" ht="15.75" customHeight="1" x14ac:dyDescent="0.25">
      <c r="A8" s="21">
        <v>2030</v>
      </c>
      <c r="B8" s="66">
        <f t="shared" si="0"/>
        <v>4.5555555555555571</v>
      </c>
      <c r="C8" s="66">
        <f t="shared" si="0"/>
        <v>6.5555555555555571</v>
      </c>
      <c r="D8" s="66">
        <f t="shared" si="0"/>
        <v>9.1111111111111143</v>
      </c>
      <c r="E8" s="66">
        <f t="shared" si="0"/>
        <v>11.111111111111114</v>
      </c>
      <c r="F8" s="66">
        <f t="shared" si="0"/>
        <v>15</v>
      </c>
      <c r="G8" s="66">
        <f t="shared" si="0"/>
        <v>20</v>
      </c>
      <c r="H8" s="66">
        <f t="shared" si="0"/>
        <v>50</v>
      </c>
      <c r="I8" s="66">
        <f t="shared" si="0"/>
        <v>100</v>
      </c>
      <c r="J8" s="66">
        <f t="shared" si="0"/>
        <v>200</v>
      </c>
      <c r="K8" s="66">
        <f t="shared" si="0"/>
        <v>500</v>
      </c>
      <c r="L8" s="66">
        <f t="shared" si="0"/>
        <v>1000</v>
      </c>
      <c r="M8" s="66">
        <f t="shared" si="0"/>
        <v>5000</v>
      </c>
      <c r="N8" s="1"/>
    </row>
    <row r="9" spans="1:14" ht="15.75" customHeight="1" x14ac:dyDescent="0.25">
      <c r="A9" s="21">
        <v>2031</v>
      </c>
      <c r="B9" s="66">
        <f t="shared" si="0"/>
        <v>4.4444444444444464</v>
      </c>
      <c r="C9" s="66">
        <f t="shared" si="0"/>
        <v>6.4444444444444464</v>
      </c>
      <c r="D9" s="66">
        <f t="shared" si="0"/>
        <v>8.8888888888888928</v>
      </c>
      <c r="E9" s="66">
        <f t="shared" si="0"/>
        <v>10.888888888888893</v>
      </c>
      <c r="F9" s="66">
        <f t="shared" si="0"/>
        <v>15</v>
      </c>
      <c r="G9" s="66">
        <f t="shared" si="0"/>
        <v>20</v>
      </c>
      <c r="H9" s="66">
        <f t="shared" si="0"/>
        <v>50</v>
      </c>
      <c r="I9" s="66">
        <f t="shared" si="0"/>
        <v>100</v>
      </c>
      <c r="J9" s="66">
        <f t="shared" si="0"/>
        <v>200</v>
      </c>
      <c r="K9" s="66">
        <f t="shared" si="0"/>
        <v>500</v>
      </c>
      <c r="L9" s="66">
        <f t="shared" si="0"/>
        <v>1000</v>
      </c>
      <c r="M9" s="66">
        <f t="shared" si="0"/>
        <v>5000</v>
      </c>
      <c r="N9" s="1"/>
    </row>
    <row r="10" spans="1:14" ht="15.75" customHeight="1" x14ac:dyDescent="0.25">
      <c r="A10" s="21">
        <v>2032</v>
      </c>
      <c r="B10" s="66">
        <f t="shared" si="0"/>
        <v>4.3333333333333357</v>
      </c>
      <c r="C10" s="66">
        <f t="shared" si="0"/>
        <v>6.3333333333333357</v>
      </c>
      <c r="D10" s="66">
        <f t="shared" si="0"/>
        <v>8.6666666666666714</v>
      </c>
      <c r="E10" s="66">
        <f t="shared" si="0"/>
        <v>10.666666666666671</v>
      </c>
      <c r="F10" s="66">
        <f t="shared" si="0"/>
        <v>15</v>
      </c>
      <c r="G10" s="66">
        <f t="shared" si="0"/>
        <v>20</v>
      </c>
      <c r="H10" s="66">
        <f t="shared" si="0"/>
        <v>50</v>
      </c>
      <c r="I10" s="66">
        <f t="shared" si="0"/>
        <v>100</v>
      </c>
      <c r="J10" s="66">
        <f t="shared" si="0"/>
        <v>200</v>
      </c>
      <c r="K10" s="66">
        <f t="shared" si="0"/>
        <v>500</v>
      </c>
      <c r="L10" s="66">
        <f t="shared" si="0"/>
        <v>1000</v>
      </c>
      <c r="M10" s="66">
        <f t="shared" si="0"/>
        <v>5000</v>
      </c>
      <c r="N10" s="1"/>
    </row>
    <row r="11" spans="1:14" ht="15.75" customHeight="1" x14ac:dyDescent="0.25">
      <c r="A11" s="21">
        <v>2033</v>
      </c>
      <c r="B11" s="66">
        <f t="shared" si="0"/>
        <v>4.222222222222225</v>
      </c>
      <c r="C11" s="66">
        <f t="shared" si="0"/>
        <v>6.222222222222225</v>
      </c>
      <c r="D11" s="66">
        <f t="shared" si="0"/>
        <v>8.44444444444445</v>
      </c>
      <c r="E11" s="66">
        <f t="shared" si="0"/>
        <v>10.44444444444445</v>
      </c>
      <c r="F11" s="66">
        <f t="shared" si="0"/>
        <v>15</v>
      </c>
      <c r="G11" s="66">
        <f t="shared" si="0"/>
        <v>20</v>
      </c>
      <c r="H11" s="66">
        <f t="shared" si="0"/>
        <v>50</v>
      </c>
      <c r="I11" s="66">
        <f t="shared" si="0"/>
        <v>100</v>
      </c>
      <c r="J11" s="66">
        <f t="shared" si="0"/>
        <v>200</v>
      </c>
      <c r="K11" s="66">
        <f t="shared" si="0"/>
        <v>500</v>
      </c>
      <c r="L11" s="66">
        <f t="shared" si="0"/>
        <v>1000</v>
      </c>
      <c r="M11" s="66">
        <f t="shared" si="0"/>
        <v>5000</v>
      </c>
      <c r="N11" s="1"/>
    </row>
    <row r="12" spans="1:14" ht="15.75" customHeight="1" x14ac:dyDescent="0.25">
      <c r="A12" s="21">
        <v>2034</v>
      </c>
      <c r="B12" s="66">
        <f t="shared" si="0"/>
        <v>4.1111111111111143</v>
      </c>
      <c r="C12" s="66">
        <f t="shared" si="0"/>
        <v>6.1111111111111143</v>
      </c>
      <c r="D12" s="66">
        <f t="shared" si="0"/>
        <v>8.2222222222222285</v>
      </c>
      <c r="E12" s="66">
        <f t="shared" si="0"/>
        <v>10.222222222222229</v>
      </c>
      <c r="F12" s="66">
        <f t="shared" si="0"/>
        <v>15</v>
      </c>
      <c r="G12" s="66">
        <f t="shared" si="0"/>
        <v>20</v>
      </c>
      <c r="H12" s="66">
        <f t="shared" si="0"/>
        <v>50</v>
      </c>
      <c r="I12" s="66">
        <f t="shared" si="0"/>
        <v>100</v>
      </c>
      <c r="J12" s="66">
        <f t="shared" si="0"/>
        <v>200</v>
      </c>
      <c r="K12" s="66">
        <f t="shared" si="0"/>
        <v>500</v>
      </c>
      <c r="L12" s="66">
        <f t="shared" si="0"/>
        <v>1000</v>
      </c>
      <c r="M12" s="66">
        <f t="shared" si="0"/>
        <v>5000</v>
      </c>
      <c r="N12" s="1"/>
    </row>
    <row r="13" spans="1:14" ht="15.75" customHeight="1" x14ac:dyDescent="0.25">
      <c r="A13" s="21">
        <v>2035</v>
      </c>
      <c r="B13" s="67">
        <v>4</v>
      </c>
      <c r="C13" s="67">
        <v>6</v>
      </c>
      <c r="D13" s="67">
        <v>8</v>
      </c>
      <c r="E13" s="67">
        <v>10</v>
      </c>
      <c r="F13" s="67">
        <v>15</v>
      </c>
      <c r="G13" s="67">
        <v>20</v>
      </c>
      <c r="H13" s="67">
        <v>50</v>
      </c>
      <c r="I13" s="67">
        <v>100</v>
      </c>
      <c r="J13" s="67">
        <v>200</v>
      </c>
      <c r="K13" s="67">
        <v>500</v>
      </c>
      <c r="L13" s="67">
        <v>1000</v>
      </c>
      <c r="M13" s="67">
        <v>5000</v>
      </c>
      <c r="N13" s="1"/>
    </row>
    <row r="14" spans="1:14" ht="15.75" customHeight="1" x14ac:dyDescent="0.25">
      <c r="A14" s="21">
        <v>2036</v>
      </c>
      <c r="B14" s="66">
        <f t="shared" ref="B14:B27" si="1">B13+(B$28-B$13)/15</f>
        <v>3.9333333333333331</v>
      </c>
      <c r="C14" s="66">
        <f t="shared" ref="C14:C27" si="2">C13+(C$28-C$13)/15</f>
        <v>5.8666666666666663</v>
      </c>
      <c r="D14" s="66">
        <f t="shared" ref="D14:D27" si="3">D13+(D$28-D$13)/15</f>
        <v>7.8666666666666663</v>
      </c>
      <c r="E14" s="66">
        <f t="shared" ref="E14:E27" si="4">E13+(E$28-E$13)/15</f>
        <v>9.8666666666666671</v>
      </c>
      <c r="F14" s="66">
        <f t="shared" ref="F14:F27" si="5">F13+(F$28-F$13)/15</f>
        <v>14.8</v>
      </c>
      <c r="G14" s="66">
        <f t="shared" ref="G14:G27" si="6">G13+(G$28-G$13)/15</f>
        <v>20</v>
      </c>
      <c r="H14" s="66">
        <f t="shared" ref="H14:H27" si="7">H13+(H$28-H$13)/15</f>
        <v>50</v>
      </c>
      <c r="I14" s="66">
        <f t="shared" ref="I14:I27" si="8">I13+(I$28-I$13)/15</f>
        <v>100</v>
      </c>
      <c r="J14" s="66">
        <f t="shared" ref="J14:J27" si="9">J13+(J$28-J$13)/15</f>
        <v>200</v>
      </c>
      <c r="K14" s="66">
        <f t="shared" ref="K14:K27" si="10">K13+(K$28-K$13)/15</f>
        <v>500</v>
      </c>
      <c r="L14" s="66">
        <f t="shared" ref="L14:L27" si="11">L13+(L$28-L$13)/15</f>
        <v>1000</v>
      </c>
      <c r="M14" s="66">
        <f t="shared" ref="M14:M27" si="12">M13+(M$28-M$13)/15</f>
        <v>5000</v>
      </c>
      <c r="N14" s="1"/>
    </row>
    <row r="15" spans="1:14" ht="15.75" customHeight="1" x14ac:dyDescent="0.25">
      <c r="A15" s="21">
        <v>2037</v>
      </c>
      <c r="B15" s="66">
        <f t="shared" si="1"/>
        <v>3.8666666666666663</v>
      </c>
      <c r="C15" s="66">
        <f t="shared" si="2"/>
        <v>5.7333333333333325</v>
      </c>
      <c r="D15" s="66">
        <f t="shared" si="3"/>
        <v>7.7333333333333325</v>
      </c>
      <c r="E15" s="66">
        <f t="shared" si="4"/>
        <v>9.7333333333333343</v>
      </c>
      <c r="F15" s="66">
        <f t="shared" si="5"/>
        <v>14.600000000000001</v>
      </c>
      <c r="G15" s="66">
        <f t="shared" si="6"/>
        <v>20</v>
      </c>
      <c r="H15" s="66">
        <f t="shared" si="7"/>
        <v>50</v>
      </c>
      <c r="I15" s="66">
        <f t="shared" si="8"/>
        <v>100</v>
      </c>
      <c r="J15" s="66">
        <f t="shared" si="9"/>
        <v>200</v>
      </c>
      <c r="K15" s="66">
        <f t="shared" si="10"/>
        <v>500</v>
      </c>
      <c r="L15" s="66">
        <f t="shared" si="11"/>
        <v>1000</v>
      </c>
      <c r="M15" s="66">
        <f t="shared" si="12"/>
        <v>5000</v>
      </c>
      <c r="N15" s="1"/>
    </row>
    <row r="16" spans="1:14" ht="15.75" customHeight="1" x14ac:dyDescent="0.25">
      <c r="A16" s="21">
        <v>2038</v>
      </c>
      <c r="B16" s="66">
        <f t="shared" si="1"/>
        <v>3.7999999999999994</v>
      </c>
      <c r="C16" s="66">
        <f t="shared" si="2"/>
        <v>5.5999999999999988</v>
      </c>
      <c r="D16" s="66">
        <f t="shared" si="3"/>
        <v>7.5999999999999988</v>
      </c>
      <c r="E16" s="66">
        <f t="shared" si="4"/>
        <v>9.6000000000000014</v>
      </c>
      <c r="F16" s="66">
        <f t="shared" si="5"/>
        <v>14.400000000000002</v>
      </c>
      <c r="G16" s="66">
        <f t="shared" si="6"/>
        <v>20</v>
      </c>
      <c r="H16" s="66">
        <f t="shared" si="7"/>
        <v>50</v>
      </c>
      <c r="I16" s="66">
        <f t="shared" si="8"/>
        <v>100</v>
      </c>
      <c r="J16" s="66">
        <f t="shared" si="9"/>
        <v>200</v>
      </c>
      <c r="K16" s="66">
        <f t="shared" si="10"/>
        <v>500</v>
      </c>
      <c r="L16" s="66">
        <f t="shared" si="11"/>
        <v>1000</v>
      </c>
      <c r="M16" s="66">
        <f t="shared" si="12"/>
        <v>5000</v>
      </c>
      <c r="N16" s="1"/>
    </row>
    <row r="17" spans="1:14" ht="15.75" customHeight="1" x14ac:dyDescent="0.25">
      <c r="A17" s="21">
        <v>2039</v>
      </c>
      <c r="B17" s="66">
        <f t="shared" si="1"/>
        <v>3.7333333333333325</v>
      </c>
      <c r="C17" s="66">
        <f t="shared" si="2"/>
        <v>5.466666666666665</v>
      </c>
      <c r="D17" s="66">
        <f t="shared" si="3"/>
        <v>7.466666666666665</v>
      </c>
      <c r="E17" s="66">
        <f t="shared" si="4"/>
        <v>9.4666666666666686</v>
      </c>
      <c r="F17" s="66">
        <f t="shared" si="5"/>
        <v>14.200000000000003</v>
      </c>
      <c r="G17" s="66">
        <f t="shared" si="6"/>
        <v>20</v>
      </c>
      <c r="H17" s="66">
        <f t="shared" si="7"/>
        <v>50</v>
      </c>
      <c r="I17" s="66">
        <f t="shared" si="8"/>
        <v>100</v>
      </c>
      <c r="J17" s="66">
        <f t="shared" si="9"/>
        <v>200</v>
      </c>
      <c r="K17" s="66">
        <f t="shared" si="10"/>
        <v>500</v>
      </c>
      <c r="L17" s="66">
        <f t="shared" si="11"/>
        <v>1000</v>
      </c>
      <c r="M17" s="66">
        <f t="shared" si="12"/>
        <v>5000</v>
      </c>
      <c r="N17" s="1"/>
    </row>
    <row r="18" spans="1:14" ht="15.75" customHeight="1" x14ac:dyDescent="0.25">
      <c r="A18" s="21">
        <v>2040</v>
      </c>
      <c r="B18" s="66">
        <f t="shared" si="1"/>
        <v>3.6666666666666656</v>
      </c>
      <c r="C18" s="66">
        <f t="shared" si="2"/>
        <v>5.3333333333333313</v>
      </c>
      <c r="D18" s="66">
        <f t="shared" si="3"/>
        <v>7.3333333333333313</v>
      </c>
      <c r="E18" s="66">
        <f t="shared" si="4"/>
        <v>9.3333333333333357</v>
      </c>
      <c r="F18" s="66">
        <f t="shared" si="5"/>
        <v>14.000000000000004</v>
      </c>
      <c r="G18" s="66">
        <f t="shared" si="6"/>
        <v>20</v>
      </c>
      <c r="H18" s="66">
        <f t="shared" si="7"/>
        <v>50</v>
      </c>
      <c r="I18" s="66">
        <f t="shared" si="8"/>
        <v>100</v>
      </c>
      <c r="J18" s="66">
        <f t="shared" si="9"/>
        <v>200</v>
      </c>
      <c r="K18" s="66">
        <f t="shared" si="10"/>
        <v>500</v>
      </c>
      <c r="L18" s="66">
        <f t="shared" si="11"/>
        <v>1000</v>
      </c>
      <c r="M18" s="66">
        <f t="shared" si="12"/>
        <v>5000</v>
      </c>
      <c r="N18" s="1"/>
    </row>
    <row r="19" spans="1:14" ht="15.75" customHeight="1" x14ac:dyDescent="0.25">
      <c r="A19" s="21">
        <v>2041</v>
      </c>
      <c r="B19" s="66">
        <f t="shared" si="1"/>
        <v>3.5999999999999988</v>
      </c>
      <c r="C19" s="66">
        <f t="shared" si="2"/>
        <v>5.1999999999999975</v>
      </c>
      <c r="D19" s="66">
        <f t="shared" si="3"/>
        <v>7.1999999999999975</v>
      </c>
      <c r="E19" s="66">
        <f t="shared" si="4"/>
        <v>9.2000000000000028</v>
      </c>
      <c r="F19" s="66">
        <f t="shared" si="5"/>
        <v>13.800000000000004</v>
      </c>
      <c r="G19" s="66">
        <f t="shared" si="6"/>
        <v>20</v>
      </c>
      <c r="H19" s="66">
        <f t="shared" si="7"/>
        <v>50</v>
      </c>
      <c r="I19" s="66">
        <f t="shared" si="8"/>
        <v>100</v>
      </c>
      <c r="J19" s="66">
        <f t="shared" si="9"/>
        <v>200</v>
      </c>
      <c r="K19" s="66">
        <f t="shared" si="10"/>
        <v>500</v>
      </c>
      <c r="L19" s="66">
        <f t="shared" si="11"/>
        <v>1000</v>
      </c>
      <c r="M19" s="66">
        <f t="shared" si="12"/>
        <v>5000</v>
      </c>
      <c r="N19" s="1"/>
    </row>
    <row r="20" spans="1:14" ht="15.75" customHeight="1" x14ac:dyDescent="0.25">
      <c r="A20" s="21">
        <v>2042</v>
      </c>
      <c r="B20" s="66">
        <f t="shared" si="1"/>
        <v>3.5333333333333319</v>
      </c>
      <c r="C20" s="66">
        <f t="shared" si="2"/>
        <v>5.0666666666666638</v>
      </c>
      <c r="D20" s="66">
        <f t="shared" si="3"/>
        <v>7.0666666666666638</v>
      </c>
      <c r="E20" s="66">
        <f t="shared" si="4"/>
        <v>9.06666666666667</v>
      </c>
      <c r="F20" s="66">
        <f t="shared" si="5"/>
        <v>13.600000000000005</v>
      </c>
      <c r="G20" s="66">
        <f t="shared" si="6"/>
        <v>20</v>
      </c>
      <c r="H20" s="66">
        <f t="shared" si="7"/>
        <v>50</v>
      </c>
      <c r="I20" s="66">
        <f t="shared" si="8"/>
        <v>100</v>
      </c>
      <c r="J20" s="66">
        <f t="shared" si="9"/>
        <v>200</v>
      </c>
      <c r="K20" s="66">
        <f t="shared" si="10"/>
        <v>500</v>
      </c>
      <c r="L20" s="66">
        <f t="shared" si="11"/>
        <v>1000</v>
      </c>
      <c r="M20" s="66">
        <f t="shared" si="12"/>
        <v>5000</v>
      </c>
      <c r="N20" s="1"/>
    </row>
    <row r="21" spans="1:14" ht="15.75" customHeight="1" x14ac:dyDescent="0.25">
      <c r="A21" s="21">
        <v>2043</v>
      </c>
      <c r="B21" s="66">
        <f t="shared" si="1"/>
        <v>3.466666666666665</v>
      </c>
      <c r="C21" s="66">
        <f t="shared" si="2"/>
        <v>4.93333333333333</v>
      </c>
      <c r="D21" s="66">
        <f t="shared" si="3"/>
        <v>6.93333333333333</v>
      </c>
      <c r="E21" s="66">
        <f t="shared" si="4"/>
        <v>8.9333333333333371</v>
      </c>
      <c r="F21" s="66">
        <f t="shared" si="5"/>
        <v>13.400000000000006</v>
      </c>
      <c r="G21" s="66">
        <f t="shared" si="6"/>
        <v>20</v>
      </c>
      <c r="H21" s="66">
        <f t="shared" si="7"/>
        <v>50</v>
      </c>
      <c r="I21" s="66">
        <f t="shared" si="8"/>
        <v>100</v>
      </c>
      <c r="J21" s="66">
        <f t="shared" si="9"/>
        <v>200</v>
      </c>
      <c r="K21" s="66">
        <f t="shared" si="10"/>
        <v>500</v>
      </c>
      <c r="L21" s="66">
        <f t="shared" si="11"/>
        <v>1000</v>
      </c>
      <c r="M21" s="66">
        <f t="shared" si="12"/>
        <v>5000</v>
      </c>
      <c r="N21" s="1"/>
    </row>
    <row r="22" spans="1:14" ht="15.75" customHeight="1" x14ac:dyDescent="0.25">
      <c r="A22" s="21">
        <v>2044</v>
      </c>
      <c r="B22" s="66">
        <f t="shared" si="1"/>
        <v>3.3999999999999981</v>
      </c>
      <c r="C22" s="66">
        <f t="shared" si="2"/>
        <v>4.7999999999999963</v>
      </c>
      <c r="D22" s="66">
        <f t="shared" si="3"/>
        <v>6.7999999999999963</v>
      </c>
      <c r="E22" s="66">
        <f t="shared" si="4"/>
        <v>8.8000000000000043</v>
      </c>
      <c r="F22" s="66">
        <f t="shared" si="5"/>
        <v>13.200000000000006</v>
      </c>
      <c r="G22" s="66">
        <f t="shared" si="6"/>
        <v>20</v>
      </c>
      <c r="H22" s="66">
        <f t="shared" si="7"/>
        <v>50</v>
      </c>
      <c r="I22" s="66">
        <f t="shared" si="8"/>
        <v>100</v>
      </c>
      <c r="J22" s="66">
        <f t="shared" si="9"/>
        <v>200</v>
      </c>
      <c r="K22" s="66">
        <f t="shared" si="10"/>
        <v>500</v>
      </c>
      <c r="L22" s="66">
        <f t="shared" si="11"/>
        <v>1000</v>
      </c>
      <c r="M22" s="66">
        <f t="shared" si="12"/>
        <v>5000</v>
      </c>
      <c r="N22" s="1"/>
    </row>
    <row r="23" spans="1:14" ht="15.75" customHeight="1" x14ac:dyDescent="0.25">
      <c r="A23" s="21">
        <v>2045</v>
      </c>
      <c r="B23" s="66">
        <f t="shared" si="1"/>
        <v>3.3333333333333313</v>
      </c>
      <c r="C23" s="66">
        <f t="shared" si="2"/>
        <v>4.6666666666666625</v>
      </c>
      <c r="D23" s="66">
        <f t="shared" si="3"/>
        <v>6.6666666666666625</v>
      </c>
      <c r="E23" s="66">
        <f t="shared" si="4"/>
        <v>8.6666666666666714</v>
      </c>
      <c r="F23" s="66">
        <f t="shared" si="5"/>
        <v>13.000000000000007</v>
      </c>
      <c r="G23" s="66">
        <f t="shared" si="6"/>
        <v>20</v>
      </c>
      <c r="H23" s="66">
        <f t="shared" si="7"/>
        <v>50</v>
      </c>
      <c r="I23" s="66">
        <f t="shared" si="8"/>
        <v>100</v>
      </c>
      <c r="J23" s="66">
        <f t="shared" si="9"/>
        <v>200</v>
      </c>
      <c r="K23" s="66">
        <f t="shared" si="10"/>
        <v>500</v>
      </c>
      <c r="L23" s="66">
        <f t="shared" si="11"/>
        <v>1000</v>
      </c>
      <c r="M23" s="66">
        <f t="shared" si="12"/>
        <v>5000</v>
      </c>
      <c r="N23" s="1"/>
    </row>
    <row r="24" spans="1:14" ht="15.75" customHeight="1" x14ac:dyDescent="0.25">
      <c r="A24" s="21">
        <v>2046</v>
      </c>
      <c r="B24" s="66">
        <f t="shared" si="1"/>
        <v>3.2666666666666644</v>
      </c>
      <c r="C24" s="66">
        <f t="shared" si="2"/>
        <v>4.5333333333333288</v>
      </c>
      <c r="D24" s="66">
        <f t="shared" si="3"/>
        <v>6.5333333333333288</v>
      </c>
      <c r="E24" s="66">
        <f t="shared" si="4"/>
        <v>8.5333333333333385</v>
      </c>
      <c r="F24" s="66">
        <f t="shared" si="5"/>
        <v>12.800000000000008</v>
      </c>
      <c r="G24" s="66">
        <f t="shared" si="6"/>
        <v>20</v>
      </c>
      <c r="H24" s="66">
        <f t="shared" si="7"/>
        <v>50</v>
      </c>
      <c r="I24" s="66">
        <f t="shared" si="8"/>
        <v>100</v>
      </c>
      <c r="J24" s="66">
        <f t="shared" si="9"/>
        <v>200</v>
      </c>
      <c r="K24" s="66">
        <f t="shared" si="10"/>
        <v>500</v>
      </c>
      <c r="L24" s="66">
        <f t="shared" si="11"/>
        <v>1000</v>
      </c>
      <c r="M24" s="66">
        <f t="shared" si="12"/>
        <v>5000</v>
      </c>
      <c r="N24" s="1"/>
    </row>
    <row r="25" spans="1:14" ht="15.75" customHeight="1" x14ac:dyDescent="0.25">
      <c r="A25" s="21">
        <v>2047</v>
      </c>
      <c r="B25" s="66">
        <f t="shared" si="1"/>
        <v>3.1999999999999975</v>
      </c>
      <c r="C25" s="66">
        <f t="shared" si="2"/>
        <v>4.399999999999995</v>
      </c>
      <c r="D25" s="66">
        <f t="shared" si="3"/>
        <v>6.399999999999995</v>
      </c>
      <c r="E25" s="66">
        <f t="shared" si="4"/>
        <v>8.4000000000000057</v>
      </c>
      <c r="F25" s="66">
        <f t="shared" si="5"/>
        <v>12.600000000000009</v>
      </c>
      <c r="G25" s="66">
        <f t="shared" si="6"/>
        <v>20</v>
      </c>
      <c r="H25" s="66">
        <f t="shared" si="7"/>
        <v>50</v>
      </c>
      <c r="I25" s="66">
        <f t="shared" si="8"/>
        <v>100</v>
      </c>
      <c r="J25" s="66">
        <f t="shared" si="9"/>
        <v>200</v>
      </c>
      <c r="K25" s="66">
        <f t="shared" si="10"/>
        <v>500</v>
      </c>
      <c r="L25" s="66">
        <f t="shared" si="11"/>
        <v>1000</v>
      </c>
      <c r="M25" s="66">
        <f t="shared" si="12"/>
        <v>5000</v>
      </c>
      <c r="N25" s="1"/>
    </row>
    <row r="26" spans="1:14" ht="15.75" customHeight="1" x14ac:dyDescent="0.25">
      <c r="A26" s="21">
        <v>2048</v>
      </c>
      <c r="B26" s="66">
        <f t="shared" si="1"/>
        <v>3.1333333333333306</v>
      </c>
      <c r="C26" s="66">
        <f t="shared" si="2"/>
        <v>4.2666666666666613</v>
      </c>
      <c r="D26" s="66">
        <f t="shared" si="3"/>
        <v>6.2666666666666613</v>
      </c>
      <c r="E26" s="66">
        <f t="shared" si="4"/>
        <v>8.2666666666666728</v>
      </c>
      <c r="F26" s="66">
        <f t="shared" si="5"/>
        <v>12.400000000000009</v>
      </c>
      <c r="G26" s="66">
        <f t="shared" si="6"/>
        <v>20</v>
      </c>
      <c r="H26" s="66">
        <f t="shared" si="7"/>
        <v>50</v>
      </c>
      <c r="I26" s="66">
        <f t="shared" si="8"/>
        <v>100</v>
      </c>
      <c r="J26" s="66">
        <f t="shared" si="9"/>
        <v>200</v>
      </c>
      <c r="K26" s="66">
        <f t="shared" si="10"/>
        <v>500</v>
      </c>
      <c r="L26" s="66">
        <f t="shared" si="11"/>
        <v>1000</v>
      </c>
      <c r="M26" s="66">
        <f t="shared" si="12"/>
        <v>5000</v>
      </c>
      <c r="N26" s="1"/>
    </row>
    <row r="27" spans="1:14" ht="15.75" customHeight="1" x14ac:dyDescent="0.25">
      <c r="A27" s="21">
        <v>2049</v>
      </c>
      <c r="B27" s="66">
        <f t="shared" si="1"/>
        <v>3.0666666666666638</v>
      </c>
      <c r="C27" s="66">
        <f t="shared" si="2"/>
        <v>4.1333333333333275</v>
      </c>
      <c r="D27" s="66">
        <f t="shared" si="3"/>
        <v>6.1333333333333275</v>
      </c>
      <c r="E27" s="66">
        <f t="shared" si="4"/>
        <v>8.13333333333334</v>
      </c>
      <c r="F27" s="66">
        <f t="shared" si="5"/>
        <v>12.20000000000001</v>
      </c>
      <c r="G27" s="66">
        <f t="shared" si="6"/>
        <v>20</v>
      </c>
      <c r="H27" s="66">
        <f t="shared" si="7"/>
        <v>50</v>
      </c>
      <c r="I27" s="66">
        <f t="shared" si="8"/>
        <v>100</v>
      </c>
      <c r="J27" s="66">
        <f t="shared" si="9"/>
        <v>200</v>
      </c>
      <c r="K27" s="66">
        <f t="shared" si="10"/>
        <v>500</v>
      </c>
      <c r="L27" s="66">
        <f t="shared" si="11"/>
        <v>1000</v>
      </c>
      <c r="M27" s="66">
        <f t="shared" si="12"/>
        <v>5000</v>
      </c>
      <c r="N27" s="1"/>
    </row>
    <row r="28" spans="1:14" ht="15.75" customHeight="1" x14ac:dyDescent="0.25">
      <c r="A28" s="21">
        <v>2050</v>
      </c>
      <c r="B28" s="67">
        <v>3</v>
      </c>
      <c r="C28" s="67">
        <v>4</v>
      </c>
      <c r="D28" s="67">
        <v>6</v>
      </c>
      <c r="E28" s="67">
        <v>8</v>
      </c>
      <c r="F28" s="67">
        <v>12</v>
      </c>
      <c r="G28" s="67">
        <v>20</v>
      </c>
      <c r="H28" s="67">
        <v>50</v>
      </c>
      <c r="I28" s="67">
        <v>100</v>
      </c>
      <c r="J28" s="67">
        <v>200</v>
      </c>
      <c r="K28" s="67">
        <v>500</v>
      </c>
      <c r="L28" s="67">
        <v>1000</v>
      </c>
      <c r="M28" s="67">
        <v>5000</v>
      </c>
      <c r="N28" s="1"/>
    </row>
    <row r="29" spans="1:14" ht="15.75" customHeight="1" x14ac:dyDescent="0.25">
      <c r="A29" s="21">
        <v>2051</v>
      </c>
      <c r="B29" s="66">
        <f t="shared" ref="B29:B47" si="13">B28+(B$48-B$28)/20</f>
        <v>3</v>
      </c>
      <c r="C29" s="66">
        <f t="shared" ref="C29:C47" si="14">C28+(C$48-C$28)/20</f>
        <v>4</v>
      </c>
      <c r="D29" s="66">
        <f t="shared" ref="D29:D47" si="15">D28+(D$48-D$28)/20</f>
        <v>5.95</v>
      </c>
      <c r="E29" s="66">
        <f t="shared" ref="E29:E47" si="16">E28+(E$48-E$28)/20</f>
        <v>7.95</v>
      </c>
      <c r="F29" s="66">
        <f t="shared" ref="F29:F47" si="17">F28+(F$48-F$28)/20</f>
        <v>11.9</v>
      </c>
      <c r="G29" s="66">
        <f t="shared" ref="G29:G47" si="18">G28+(G$48-G$28)/20</f>
        <v>20</v>
      </c>
      <c r="H29" s="66">
        <f t="shared" ref="H29:H47" si="19">H28+(H$48-H$28)/20</f>
        <v>50</v>
      </c>
      <c r="I29" s="66">
        <f t="shared" ref="I29:I47" si="20">I28+(I$48-I$28)/20</f>
        <v>100</v>
      </c>
      <c r="J29" s="66">
        <f t="shared" ref="J29:J47" si="21">J28+(J$48-J$28)/20</f>
        <v>200</v>
      </c>
      <c r="K29" s="66">
        <f t="shared" ref="K29:K47" si="22">K28+(K$48-K$28)/20</f>
        <v>500</v>
      </c>
      <c r="L29" s="66">
        <f t="shared" ref="L29:L47" si="23">L28+(L$48-L$28)/20</f>
        <v>1000</v>
      </c>
      <c r="M29" s="66">
        <f t="shared" ref="M29:M47" si="24">M28+(M$48-M$28)/20</f>
        <v>5000</v>
      </c>
      <c r="N29" s="1"/>
    </row>
    <row r="30" spans="1:14" ht="15.75" customHeight="1" x14ac:dyDescent="0.25">
      <c r="A30" s="21">
        <v>2052</v>
      </c>
      <c r="B30" s="66">
        <f t="shared" si="13"/>
        <v>3</v>
      </c>
      <c r="C30" s="66">
        <f t="shared" si="14"/>
        <v>4</v>
      </c>
      <c r="D30" s="66">
        <f t="shared" si="15"/>
        <v>5.9</v>
      </c>
      <c r="E30" s="66">
        <f t="shared" si="16"/>
        <v>7.9</v>
      </c>
      <c r="F30" s="66">
        <f t="shared" si="17"/>
        <v>11.8</v>
      </c>
      <c r="G30" s="66">
        <f t="shared" si="18"/>
        <v>20</v>
      </c>
      <c r="H30" s="66">
        <f t="shared" si="19"/>
        <v>50</v>
      </c>
      <c r="I30" s="66">
        <f t="shared" si="20"/>
        <v>100</v>
      </c>
      <c r="J30" s="66">
        <f t="shared" si="21"/>
        <v>200</v>
      </c>
      <c r="K30" s="66">
        <f t="shared" si="22"/>
        <v>500</v>
      </c>
      <c r="L30" s="66">
        <f t="shared" si="23"/>
        <v>1000</v>
      </c>
      <c r="M30" s="66">
        <f t="shared" si="24"/>
        <v>5000</v>
      </c>
    </row>
    <row r="31" spans="1:14" ht="15.75" customHeight="1" x14ac:dyDescent="0.25">
      <c r="A31" s="21">
        <v>2053</v>
      </c>
      <c r="B31" s="66">
        <f t="shared" si="13"/>
        <v>3</v>
      </c>
      <c r="C31" s="66">
        <f t="shared" si="14"/>
        <v>4</v>
      </c>
      <c r="D31" s="66">
        <f t="shared" si="15"/>
        <v>5.8500000000000005</v>
      </c>
      <c r="E31" s="66">
        <f t="shared" si="16"/>
        <v>7.8500000000000005</v>
      </c>
      <c r="F31" s="66">
        <f t="shared" si="17"/>
        <v>11.700000000000001</v>
      </c>
      <c r="G31" s="66">
        <f t="shared" si="18"/>
        <v>20</v>
      </c>
      <c r="H31" s="66">
        <f t="shared" si="19"/>
        <v>50</v>
      </c>
      <c r="I31" s="66">
        <f t="shared" si="20"/>
        <v>100</v>
      </c>
      <c r="J31" s="66">
        <f t="shared" si="21"/>
        <v>200</v>
      </c>
      <c r="K31" s="66">
        <f t="shared" si="22"/>
        <v>500</v>
      </c>
      <c r="L31" s="66">
        <f t="shared" si="23"/>
        <v>1000</v>
      </c>
      <c r="M31" s="66">
        <f t="shared" si="24"/>
        <v>5000</v>
      </c>
    </row>
    <row r="32" spans="1:14" ht="15.75" customHeight="1" x14ac:dyDescent="0.25">
      <c r="A32" s="21">
        <v>2054</v>
      </c>
      <c r="B32" s="66">
        <f t="shared" si="13"/>
        <v>3</v>
      </c>
      <c r="C32" s="66">
        <f t="shared" si="14"/>
        <v>4</v>
      </c>
      <c r="D32" s="66">
        <f t="shared" si="15"/>
        <v>5.8000000000000007</v>
      </c>
      <c r="E32" s="66">
        <f t="shared" si="16"/>
        <v>7.8000000000000007</v>
      </c>
      <c r="F32" s="66">
        <f t="shared" si="17"/>
        <v>11.600000000000001</v>
      </c>
      <c r="G32" s="66">
        <f t="shared" si="18"/>
        <v>20</v>
      </c>
      <c r="H32" s="66">
        <f t="shared" si="19"/>
        <v>50</v>
      </c>
      <c r="I32" s="66">
        <f t="shared" si="20"/>
        <v>100</v>
      </c>
      <c r="J32" s="66">
        <f t="shared" si="21"/>
        <v>200</v>
      </c>
      <c r="K32" s="66">
        <f t="shared" si="22"/>
        <v>500</v>
      </c>
      <c r="L32" s="66">
        <f t="shared" si="23"/>
        <v>1000</v>
      </c>
      <c r="M32" s="66">
        <f t="shared" si="24"/>
        <v>5000</v>
      </c>
    </row>
    <row r="33" spans="1:13" ht="15.75" customHeight="1" x14ac:dyDescent="0.25">
      <c r="A33" s="21">
        <v>2055</v>
      </c>
      <c r="B33" s="66">
        <f t="shared" si="13"/>
        <v>3</v>
      </c>
      <c r="C33" s="66">
        <f t="shared" si="14"/>
        <v>4</v>
      </c>
      <c r="D33" s="66">
        <f t="shared" si="15"/>
        <v>5.7500000000000009</v>
      </c>
      <c r="E33" s="66">
        <f t="shared" si="16"/>
        <v>7.7500000000000009</v>
      </c>
      <c r="F33" s="66">
        <f t="shared" si="17"/>
        <v>11.500000000000002</v>
      </c>
      <c r="G33" s="66">
        <f t="shared" si="18"/>
        <v>20</v>
      </c>
      <c r="H33" s="66">
        <f t="shared" si="19"/>
        <v>50</v>
      </c>
      <c r="I33" s="66">
        <f t="shared" si="20"/>
        <v>100</v>
      </c>
      <c r="J33" s="66">
        <f t="shared" si="21"/>
        <v>200</v>
      </c>
      <c r="K33" s="66">
        <f t="shared" si="22"/>
        <v>500</v>
      </c>
      <c r="L33" s="66">
        <f t="shared" si="23"/>
        <v>1000</v>
      </c>
      <c r="M33" s="66">
        <f t="shared" si="24"/>
        <v>5000</v>
      </c>
    </row>
    <row r="34" spans="1:13" ht="15.75" customHeight="1" x14ac:dyDescent="0.25">
      <c r="A34" s="21">
        <v>2056</v>
      </c>
      <c r="B34" s="66">
        <f t="shared" si="13"/>
        <v>3</v>
      </c>
      <c r="C34" s="66">
        <f t="shared" si="14"/>
        <v>4</v>
      </c>
      <c r="D34" s="66">
        <f t="shared" si="15"/>
        <v>5.7000000000000011</v>
      </c>
      <c r="E34" s="66">
        <f t="shared" si="16"/>
        <v>7.7000000000000011</v>
      </c>
      <c r="F34" s="66">
        <f t="shared" si="17"/>
        <v>11.400000000000002</v>
      </c>
      <c r="G34" s="66">
        <f t="shared" si="18"/>
        <v>20</v>
      </c>
      <c r="H34" s="66">
        <f t="shared" si="19"/>
        <v>50</v>
      </c>
      <c r="I34" s="66">
        <f t="shared" si="20"/>
        <v>100</v>
      </c>
      <c r="J34" s="66">
        <f t="shared" si="21"/>
        <v>200</v>
      </c>
      <c r="K34" s="66">
        <f t="shared" si="22"/>
        <v>500</v>
      </c>
      <c r="L34" s="66">
        <f t="shared" si="23"/>
        <v>1000</v>
      </c>
      <c r="M34" s="66">
        <f t="shared" si="24"/>
        <v>5000</v>
      </c>
    </row>
    <row r="35" spans="1:13" ht="15.75" customHeight="1" x14ac:dyDescent="0.25">
      <c r="A35" s="21">
        <v>2057</v>
      </c>
      <c r="B35" s="66">
        <f t="shared" si="13"/>
        <v>3</v>
      </c>
      <c r="C35" s="66">
        <f t="shared" si="14"/>
        <v>4</v>
      </c>
      <c r="D35" s="66">
        <f t="shared" si="15"/>
        <v>5.6500000000000012</v>
      </c>
      <c r="E35" s="66">
        <f t="shared" si="16"/>
        <v>7.6500000000000012</v>
      </c>
      <c r="F35" s="66">
        <f t="shared" si="17"/>
        <v>11.300000000000002</v>
      </c>
      <c r="G35" s="66">
        <f t="shared" si="18"/>
        <v>20</v>
      </c>
      <c r="H35" s="66">
        <f t="shared" si="19"/>
        <v>50</v>
      </c>
      <c r="I35" s="66">
        <f t="shared" si="20"/>
        <v>100</v>
      </c>
      <c r="J35" s="66">
        <f t="shared" si="21"/>
        <v>200</v>
      </c>
      <c r="K35" s="66">
        <f t="shared" si="22"/>
        <v>500</v>
      </c>
      <c r="L35" s="66">
        <f t="shared" si="23"/>
        <v>1000</v>
      </c>
      <c r="M35" s="66">
        <f t="shared" si="24"/>
        <v>5000</v>
      </c>
    </row>
    <row r="36" spans="1:13" ht="15.75" customHeight="1" x14ac:dyDescent="0.25">
      <c r="A36" s="21">
        <v>2058</v>
      </c>
      <c r="B36" s="66">
        <f t="shared" si="13"/>
        <v>3</v>
      </c>
      <c r="C36" s="66">
        <f t="shared" si="14"/>
        <v>4</v>
      </c>
      <c r="D36" s="66">
        <f t="shared" si="15"/>
        <v>5.6000000000000014</v>
      </c>
      <c r="E36" s="66">
        <f t="shared" si="16"/>
        <v>7.6000000000000014</v>
      </c>
      <c r="F36" s="66">
        <f t="shared" si="17"/>
        <v>11.200000000000003</v>
      </c>
      <c r="G36" s="66">
        <f t="shared" si="18"/>
        <v>20</v>
      </c>
      <c r="H36" s="66">
        <f t="shared" si="19"/>
        <v>50</v>
      </c>
      <c r="I36" s="66">
        <f t="shared" si="20"/>
        <v>100</v>
      </c>
      <c r="J36" s="66">
        <f t="shared" si="21"/>
        <v>200</v>
      </c>
      <c r="K36" s="66">
        <f t="shared" si="22"/>
        <v>500</v>
      </c>
      <c r="L36" s="66">
        <f t="shared" si="23"/>
        <v>1000</v>
      </c>
      <c r="M36" s="66">
        <f t="shared" si="24"/>
        <v>5000</v>
      </c>
    </row>
    <row r="37" spans="1:13" ht="15.75" customHeight="1" x14ac:dyDescent="0.25">
      <c r="A37" s="21">
        <v>2059</v>
      </c>
      <c r="B37" s="66">
        <f t="shared" si="13"/>
        <v>3</v>
      </c>
      <c r="C37" s="66">
        <f t="shared" si="14"/>
        <v>4</v>
      </c>
      <c r="D37" s="66">
        <f t="shared" si="15"/>
        <v>5.5500000000000016</v>
      </c>
      <c r="E37" s="66">
        <f t="shared" si="16"/>
        <v>7.5500000000000016</v>
      </c>
      <c r="F37" s="66">
        <f t="shared" si="17"/>
        <v>11.100000000000003</v>
      </c>
      <c r="G37" s="66">
        <f t="shared" si="18"/>
        <v>20</v>
      </c>
      <c r="H37" s="66">
        <f t="shared" si="19"/>
        <v>50</v>
      </c>
      <c r="I37" s="66">
        <f t="shared" si="20"/>
        <v>100</v>
      </c>
      <c r="J37" s="66">
        <f t="shared" si="21"/>
        <v>200</v>
      </c>
      <c r="K37" s="66">
        <f t="shared" si="22"/>
        <v>500</v>
      </c>
      <c r="L37" s="66">
        <f t="shared" si="23"/>
        <v>1000</v>
      </c>
      <c r="M37" s="66">
        <f t="shared" si="24"/>
        <v>5000</v>
      </c>
    </row>
    <row r="38" spans="1:13" ht="15.75" customHeight="1" x14ac:dyDescent="0.25">
      <c r="A38" s="21">
        <v>2060</v>
      </c>
      <c r="B38" s="66">
        <f t="shared" si="13"/>
        <v>3</v>
      </c>
      <c r="C38" s="66">
        <f t="shared" si="14"/>
        <v>4</v>
      </c>
      <c r="D38" s="66">
        <f t="shared" si="15"/>
        <v>5.5000000000000018</v>
      </c>
      <c r="E38" s="66">
        <f t="shared" si="16"/>
        <v>7.5000000000000018</v>
      </c>
      <c r="F38" s="66">
        <f t="shared" si="17"/>
        <v>11.000000000000004</v>
      </c>
      <c r="G38" s="66">
        <f t="shared" si="18"/>
        <v>20</v>
      </c>
      <c r="H38" s="66">
        <f t="shared" si="19"/>
        <v>50</v>
      </c>
      <c r="I38" s="66">
        <f t="shared" si="20"/>
        <v>100</v>
      </c>
      <c r="J38" s="66">
        <f t="shared" si="21"/>
        <v>200</v>
      </c>
      <c r="K38" s="66">
        <f t="shared" si="22"/>
        <v>500</v>
      </c>
      <c r="L38" s="66">
        <f t="shared" si="23"/>
        <v>1000</v>
      </c>
      <c r="M38" s="66">
        <f t="shared" si="24"/>
        <v>5000</v>
      </c>
    </row>
    <row r="39" spans="1:13" ht="15.75" customHeight="1" x14ac:dyDescent="0.25">
      <c r="A39" s="21">
        <v>2061</v>
      </c>
      <c r="B39" s="66">
        <f t="shared" si="13"/>
        <v>3</v>
      </c>
      <c r="C39" s="66">
        <f t="shared" si="14"/>
        <v>4</v>
      </c>
      <c r="D39" s="66">
        <f t="shared" si="15"/>
        <v>5.450000000000002</v>
      </c>
      <c r="E39" s="66">
        <f t="shared" si="16"/>
        <v>7.450000000000002</v>
      </c>
      <c r="F39" s="66">
        <f t="shared" si="17"/>
        <v>10.900000000000004</v>
      </c>
      <c r="G39" s="66">
        <f t="shared" si="18"/>
        <v>20</v>
      </c>
      <c r="H39" s="66">
        <f t="shared" si="19"/>
        <v>50</v>
      </c>
      <c r="I39" s="66">
        <f t="shared" si="20"/>
        <v>100</v>
      </c>
      <c r="J39" s="66">
        <f t="shared" si="21"/>
        <v>200</v>
      </c>
      <c r="K39" s="66">
        <f t="shared" si="22"/>
        <v>500</v>
      </c>
      <c r="L39" s="66">
        <f t="shared" si="23"/>
        <v>1000</v>
      </c>
      <c r="M39" s="66">
        <f t="shared" si="24"/>
        <v>5000</v>
      </c>
    </row>
    <row r="40" spans="1:13" ht="15.75" customHeight="1" x14ac:dyDescent="0.25">
      <c r="A40" s="21">
        <v>2062</v>
      </c>
      <c r="B40" s="66">
        <f t="shared" si="13"/>
        <v>3</v>
      </c>
      <c r="C40" s="66">
        <f t="shared" si="14"/>
        <v>4</v>
      </c>
      <c r="D40" s="66">
        <f t="shared" si="15"/>
        <v>5.4000000000000021</v>
      </c>
      <c r="E40" s="66">
        <f t="shared" si="16"/>
        <v>7.4000000000000021</v>
      </c>
      <c r="F40" s="66">
        <f t="shared" si="17"/>
        <v>10.800000000000004</v>
      </c>
      <c r="G40" s="66">
        <f t="shared" si="18"/>
        <v>20</v>
      </c>
      <c r="H40" s="66">
        <f t="shared" si="19"/>
        <v>50</v>
      </c>
      <c r="I40" s="66">
        <f t="shared" si="20"/>
        <v>100</v>
      </c>
      <c r="J40" s="66">
        <f t="shared" si="21"/>
        <v>200</v>
      </c>
      <c r="K40" s="66">
        <f t="shared" si="22"/>
        <v>500</v>
      </c>
      <c r="L40" s="66">
        <f t="shared" si="23"/>
        <v>1000</v>
      </c>
      <c r="M40" s="66">
        <f t="shared" si="24"/>
        <v>5000</v>
      </c>
    </row>
    <row r="41" spans="1:13" ht="15.75" customHeight="1" x14ac:dyDescent="0.25">
      <c r="A41" s="21">
        <v>2063</v>
      </c>
      <c r="B41" s="66">
        <f t="shared" si="13"/>
        <v>3</v>
      </c>
      <c r="C41" s="66">
        <f t="shared" si="14"/>
        <v>4</v>
      </c>
      <c r="D41" s="66">
        <f t="shared" si="15"/>
        <v>5.3500000000000023</v>
      </c>
      <c r="E41" s="66">
        <f t="shared" si="16"/>
        <v>7.3500000000000023</v>
      </c>
      <c r="F41" s="66">
        <f t="shared" si="17"/>
        <v>10.700000000000005</v>
      </c>
      <c r="G41" s="66">
        <f t="shared" si="18"/>
        <v>20</v>
      </c>
      <c r="H41" s="66">
        <f t="shared" si="19"/>
        <v>50</v>
      </c>
      <c r="I41" s="66">
        <f t="shared" si="20"/>
        <v>100</v>
      </c>
      <c r="J41" s="66">
        <f t="shared" si="21"/>
        <v>200</v>
      </c>
      <c r="K41" s="66">
        <f t="shared" si="22"/>
        <v>500</v>
      </c>
      <c r="L41" s="66">
        <f t="shared" si="23"/>
        <v>1000</v>
      </c>
      <c r="M41" s="66">
        <f t="shared" si="24"/>
        <v>5000</v>
      </c>
    </row>
    <row r="42" spans="1:13" ht="15.75" customHeight="1" x14ac:dyDescent="0.25">
      <c r="A42" s="21">
        <v>2064</v>
      </c>
      <c r="B42" s="66">
        <f t="shared" si="13"/>
        <v>3</v>
      </c>
      <c r="C42" s="66">
        <f t="shared" si="14"/>
        <v>4</v>
      </c>
      <c r="D42" s="66">
        <f t="shared" si="15"/>
        <v>5.3000000000000025</v>
      </c>
      <c r="E42" s="66">
        <f t="shared" si="16"/>
        <v>7.3000000000000025</v>
      </c>
      <c r="F42" s="66">
        <f t="shared" si="17"/>
        <v>10.600000000000005</v>
      </c>
      <c r="G42" s="66">
        <f t="shared" si="18"/>
        <v>20</v>
      </c>
      <c r="H42" s="66">
        <f t="shared" si="19"/>
        <v>50</v>
      </c>
      <c r="I42" s="66">
        <f t="shared" si="20"/>
        <v>100</v>
      </c>
      <c r="J42" s="66">
        <f t="shared" si="21"/>
        <v>200</v>
      </c>
      <c r="K42" s="66">
        <f t="shared" si="22"/>
        <v>500</v>
      </c>
      <c r="L42" s="66">
        <f t="shared" si="23"/>
        <v>1000</v>
      </c>
      <c r="M42" s="66">
        <f t="shared" si="24"/>
        <v>5000</v>
      </c>
    </row>
    <row r="43" spans="1:13" ht="15.75" customHeight="1" x14ac:dyDescent="0.25">
      <c r="A43" s="21">
        <v>2065</v>
      </c>
      <c r="B43" s="66">
        <f t="shared" si="13"/>
        <v>3</v>
      </c>
      <c r="C43" s="66">
        <f t="shared" si="14"/>
        <v>4</v>
      </c>
      <c r="D43" s="66">
        <f t="shared" si="15"/>
        <v>5.2500000000000027</v>
      </c>
      <c r="E43" s="66">
        <f t="shared" si="16"/>
        <v>7.2500000000000027</v>
      </c>
      <c r="F43" s="66">
        <f t="shared" si="17"/>
        <v>10.500000000000005</v>
      </c>
      <c r="G43" s="66">
        <f t="shared" si="18"/>
        <v>20</v>
      </c>
      <c r="H43" s="66">
        <f t="shared" si="19"/>
        <v>50</v>
      </c>
      <c r="I43" s="66">
        <f t="shared" si="20"/>
        <v>100</v>
      </c>
      <c r="J43" s="66">
        <f t="shared" si="21"/>
        <v>200</v>
      </c>
      <c r="K43" s="66">
        <f t="shared" si="22"/>
        <v>500</v>
      </c>
      <c r="L43" s="66">
        <f t="shared" si="23"/>
        <v>1000</v>
      </c>
      <c r="M43" s="66">
        <f t="shared" si="24"/>
        <v>5000</v>
      </c>
    </row>
    <row r="44" spans="1:13" ht="15.75" customHeight="1" x14ac:dyDescent="0.25">
      <c r="A44" s="21">
        <v>2066</v>
      </c>
      <c r="B44" s="66">
        <f t="shared" si="13"/>
        <v>3</v>
      </c>
      <c r="C44" s="66">
        <f t="shared" si="14"/>
        <v>4</v>
      </c>
      <c r="D44" s="66">
        <f t="shared" si="15"/>
        <v>5.2000000000000028</v>
      </c>
      <c r="E44" s="66">
        <f t="shared" si="16"/>
        <v>7.2000000000000028</v>
      </c>
      <c r="F44" s="66">
        <f t="shared" si="17"/>
        <v>10.400000000000006</v>
      </c>
      <c r="G44" s="66">
        <f t="shared" si="18"/>
        <v>20</v>
      </c>
      <c r="H44" s="66">
        <f t="shared" si="19"/>
        <v>50</v>
      </c>
      <c r="I44" s="66">
        <f t="shared" si="20"/>
        <v>100</v>
      </c>
      <c r="J44" s="66">
        <f t="shared" si="21"/>
        <v>200</v>
      </c>
      <c r="K44" s="66">
        <f t="shared" si="22"/>
        <v>500</v>
      </c>
      <c r="L44" s="66">
        <f t="shared" si="23"/>
        <v>1000</v>
      </c>
      <c r="M44" s="66">
        <f t="shared" si="24"/>
        <v>5000</v>
      </c>
    </row>
    <row r="45" spans="1:13" ht="15.75" customHeight="1" x14ac:dyDescent="0.25">
      <c r="A45" s="21">
        <v>2067</v>
      </c>
      <c r="B45" s="66">
        <f t="shared" si="13"/>
        <v>3</v>
      </c>
      <c r="C45" s="66">
        <f t="shared" si="14"/>
        <v>4</v>
      </c>
      <c r="D45" s="66">
        <f t="shared" si="15"/>
        <v>5.150000000000003</v>
      </c>
      <c r="E45" s="66">
        <f t="shared" si="16"/>
        <v>7.150000000000003</v>
      </c>
      <c r="F45" s="66">
        <f t="shared" si="17"/>
        <v>10.300000000000006</v>
      </c>
      <c r="G45" s="66">
        <f t="shared" si="18"/>
        <v>20</v>
      </c>
      <c r="H45" s="66">
        <f t="shared" si="19"/>
        <v>50</v>
      </c>
      <c r="I45" s="66">
        <f t="shared" si="20"/>
        <v>100</v>
      </c>
      <c r="J45" s="66">
        <f t="shared" si="21"/>
        <v>200</v>
      </c>
      <c r="K45" s="66">
        <f t="shared" si="22"/>
        <v>500</v>
      </c>
      <c r="L45" s="66">
        <f t="shared" si="23"/>
        <v>1000</v>
      </c>
      <c r="M45" s="66">
        <f t="shared" si="24"/>
        <v>5000</v>
      </c>
    </row>
    <row r="46" spans="1:13" ht="15.75" customHeight="1" x14ac:dyDescent="0.25">
      <c r="A46" s="21">
        <v>2068</v>
      </c>
      <c r="B46" s="66">
        <f t="shared" si="13"/>
        <v>3</v>
      </c>
      <c r="C46" s="66">
        <f t="shared" si="14"/>
        <v>4</v>
      </c>
      <c r="D46" s="66">
        <f t="shared" si="15"/>
        <v>5.1000000000000032</v>
      </c>
      <c r="E46" s="66">
        <f t="shared" si="16"/>
        <v>7.1000000000000032</v>
      </c>
      <c r="F46" s="66">
        <f t="shared" si="17"/>
        <v>10.200000000000006</v>
      </c>
      <c r="G46" s="66">
        <f t="shared" si="18"/>
        <v>20</v>
      </c>
      <c r="H46" s="66">
        <f t="shared" si="19"/>
        <v>50</v>
      </c>
      <c r="I46" s="66">
        <f t="shared" si="20"/>
        <v>100</v>
      </c>
      <c r="J46" s="66">
        <f t="shared" si="21"/>
        <v>200</v>
      </c>
      <c r="K46" s="66">
        <f t="shared" si="22"/>
        <v>500</v>
      </c>
      <c r="L46" s="66">
        <f t="shared" si="23"/>
        <v>1000</v>
      </c>
      <c r="M46" s="66">
        <f t="shared" si="24"/>
        <v>5000</v>
      </c>
    </row>
    <row r="47" spans="1:13" ht="15.75" customHeight="1" x14ac:dyDescent="0.25">
      <c r="A47" s="21">
        <v>2069</v>
      </c>
      <c r="B47" s="66">
        <f t="shared" si="13"/>
        <v>3</v>
      </c>
      <c r="C47" s="66">
        <f t="shared" si="14"/>
        <v>4</v>
      </c>
      <c r="D47" s="66">
        <f t="shared" si="15"/>
        <v>5.0500000000000034</v>
      </c>
      <c r="E47" s="66">
        <f t="shared" si="16"/>
        <v>7.0500000000000034</v>
      </c>
      <c r="F47" s="66">
        <f t="shared" si="17"/>
        <v>10.100000000000007</v>
      </c>
      <c r="G47" s="66">
        <f t="shared" si="18"/>
        <v>20</v>
      </c>
      <c r="H47" s="66">
        <f t="shared" si="19"/>
        <v>50</v>
      </c>
      <c r="I47" s="66">
        <f t="shared" si="20"/>
        <v>100</v>
      </c>
      <c r="J47" s="66">
        <f t="shared" si="21"/>
        <v>200</v>
      </c>
      <c r="K47" s="66">
        <f t="shared" si="22"/>
        <v>500</v>
      </c>
      <c r="L47" s="66">
        <f t="shared" si="23"/>
        <v>1000</v>
      </c>
      <c r="M47" s="66">
        <f t="shared" si="24"/>
        <v>5000</v>
      </c>
    </row>
    <row r="48" spans="1:13" ht="15.75" customHeight="1" x14ac:dyDescent="0.25">
      <c r="A48" s="21">
        <v>2070</v>
      </c>
      <c r="B48" s="67">
        <v>3</v>
      </c>
      <c r="C48" s="67">
        <v>4</v>
      </c>
      <c r="D48" s="67">
        <v>5</v>
      </c>
      <c r="E48" s="67">
        <v>7</v>
      </c>
      <c r="F48" s="67">
        <v>10</v>
      </c>
      <c r="G48" s="67">
        <v>20</v>
      </c>
      <c r="H48" s="67">
        <v>50</v>
      </c>
      <c r="I48" s="67">
        <v>100</v>
      </c>
      <c r="J48" s="67">
        <v>200</v>
      </c>
      <c r="K48" s="67">
        <v>500</v>
      </c>
      <c r="L48" s="67">
        <v>1000</v>
      </c>
      <c r="M48" s="67">
        <v>5000</v>
      </c>
    </row>
    <row r="49" spans="1:13" ht="15.75" customHeight="1" x14ac:dyDescent="0.25">
      <c r="A49" s="21">
        <v>2071</v>
      </c>
      <c r="B49" s="66">
        <f t="shared" ref="B49:B57" si="25">B48+(B$58-B$48)/10</f>
        <v>3</v>
      </c>
      <c r="C49" s="66">
        <f t="shared" ref="C49:C57" si="26">C48+(C$58-C$48)/10</f>
        <v>4</v>
      </c>
      <c r="D49" s="66">
        <f t="shared" ref="D49:D57" si="27">D48+(D$58-D$48)/10</f>
        <v>5</v>
      </c>
      <c r="E49" s="66">
        <f t="shared" ref="E49:E57" si="28">E48+(E$58-E$48)/10</f>
        <v>7</v>
      </c>
      <c r="F49" s="66">
        <f t="shared" ref="F49:F57" si="29">F48+(F$58-F$48)/10</f>
        <v>10</v>
      </c>
      <c r="G49" s="66">
        <f t="shared" ref="G49:G57" si="30">G48+(G$58-G$48)/10</f>
        <v>20</v>
      </c>
      <c r="H49" s="66">
        <f t="shared" ref="H49:H57" si="31">H48+(H$58-H$48)/10</f>
        <v>50</v>
      </c>
      <c r="I49" s="66">
        <f t="shared" ref="I49:I57" si="32">I48+(I$58-I$48)/10</f>
        <v>100</v>
      </c>
      <c r="J49" s="66">
        <f t="shared" ref="J49:J57" si="33">J48+(J$58-J$48)/10</f>
        <v>200</v>
      </c>
      <c r="K49" s="66">
        <f t="shared" ref="K49:K57" si="34">K48+(K$58-K$48)/10</f>
        <v>500</v>
      </c>
      <c r="L49" s="66">
        <f t="shared" ref="L49:L57" si="35">L48+(L$58-L$48)/10</f>
        <v>1000</v>
      </c>
      <c r="M49" s="66">
        <f t="shared" ref="M49:M57" si="36">M48+(M$58-M$48)/10</f>
        <v>5000</v>
      </c>
    </row>
    <row r="50" spans="1:13" ht="15.75" customHeight="1" x14ac:dyDescent="0.25">
      <c r="A50" s="21">
        <v>2072</v>
      </c>
      <c r="B50" s="66">
        <f t="shared" si="25"/>
        <v>3</v>
      </c>
      <c r="C50" s="66">
        <f t="shared" si="26"/>
        <v>4</v>
      </c>
      <c r="D50" s="66">
        <f t="shared" si="27"/>
        <v>5</v>
      </c>
      <c r="E50" s="66">
        <f t="shared" si="28"/>
        <v>7</v>
      </c>
      <c r="F50" s="66">
        <f t="shared" si="29"/>
        <v>10</v>
      </c>
      <c r="G50" s="66">
        <f t="shared" si="30"/>
        <v>20</v>
      </c>
      <c r="H50" s="66">
        <f t="shared" si="31"/>
        <v>50</v>
      </c>
      <c r="I50" s="66">
        <f t="shared" si="32"/>
        <v>100</v>
      </c>
      <c r="J50" s="66">
        <f t="shared" si="33"/>
        <v>200</v>
      </c>
      <c r="K50" s="66">
        <f t="shared" si="34"/>
        <v>500</v>
      </c>
      <c r="L50" s="66">
        <f t="shared" si="35"/>
        <v>1000</v>
      </c>
      <c r="M50" s="66">
        <f t="shared" si="36"/>
        <v>5000</v>
      </c>
    </row>
    <row r="51" spans="1:13" ht="15.75" customHeight="1" x14ac:dyDescent="0.25">
      <c r="A51" s="21">
        <v>2073</v>
      </c>
      <c r="B51" s="66">
        <f t="shared" si="25"/>
        <v>3</v>
      </c>
      <c r="C51" s="66">
        <f t="shared" si="26"/>
        <v>4</v>
      </c>
      <c r="D51" s="66">
        <f t="shared" si="27"/>
        <v>5</v>
      </c>
      <c r="E51" s="66">
        <f t="shared" si="28"/>
        <v>7</v>
      </c>
      <c r="F51" s="66">
        <f t="shared" si="29"/>
        <v>10</v>
      </c>
      <c r="G51" s="66">
        <f t="shared" si="30"/>
        <v>20</v>
      </c>
      <c r="H51" s="66">
        <f t="shared" si="31"/>
        <v>50</v>
      </c>
      <c r="I51" s="66">
        <f t="shared" si="32"/>
        <v>100</v>
      </c>
      <c r="J51" s="66">
        <f t="shared" si="33"/>
        <v>200</v>
      </c>
      <c r="K51" s="66">
        <f t="shared" si="34"/>
        <v>500</v>
      </c>
      <c r="L51" s="66">
        <f t="shared" si="35"/>
        <v>1000</v>
      </c>
      <c r="M51" s="66">
        <f t="shared" si="36"/>
        <v>5000</v>
      </c>
    </row>
    <row r="52" spans="1:13" ht="15.75" customHeight="1" x14ac:dyDescent="0.25">
      <c r="A52" s="21">
        <v>2074</v>
      </c>
      <c r="B52" s="78">
        <f t="shared" si="25"/>
        <v>3</v>
      </c>
      <c r="C52" s="78">
        <f t="shared" si="26"/>
        <v>4</v>
      </c>
      <c r="D52" s="78">
        <f t="shared" si="27"/>
        <v>5</v>
      </c>
      <c r="E52" s="78">
        <f t="shared" si="28"/>
        <v>7</v>
      </c>
      <c r="F52" s="78">
        <f t="shared" si="29"/>
        <v>10</v>
      </c>
      <c r="G52" s="78">
        <f t="shared" si="30"/>
        <v>20</v>
      </c>
      <c r="H52" s="78">
        <f t="shared" si="31"/>
        <v>50</v>
      </c>
      <c r="I52" s="78">
        <f t="shared" si="32"/>
        <v>100</v>
      </c>
      <c r="J52" s="78">
        <f t="shared" si="33"/>
        <v>200</v>
      </c>
      <c r="K52" s="78">
        <f t="shared" si="34"/>
        <v>500</v>
      </c>
      <c r="L52" s="78">
        <f t="shared" si="35"/>
        <v>1000</v>
      </c>
      <c r="M52" s="78">
        <f t="shared" si="36"/>
        <v>5000</v>
      </c>
    </row>
    <row r="53" spans="1:13" ht="15.75" customHeight="1" x14ac:dyDescent="0.25">
      <c r="A53" s="21">
        <v>2075</v>
      </c>
      <c r="B53" s="78">
        <f t="shared" si="25"/>
        <v>3</v>
      </c>
      <c r="C53" s="78">
        <f t="shared" si="26"/>
        <v>4</v>
      </c>
      <c r="D53" s="78">
        <f t="shared" si="27"/>
        <v>5</v>
      </c>
      <c r="E53" s="78">
        <f t="shared" si="28"/>
        <v>7</v>
      </c>
      <c r="F53" s="78">
        <f t="shared" si="29"/>
        <v>10</v>
      </c>
      <c r="G53" s="78">
        <f t="shared" si="30"/>
        <v>20</v>
      </c>
      <c r="H53" s="78">
        <f t="shared" si="31"/>
        <v>50</v>
      </c>
      <c r="I53" s="78">
        <f t="shared" si="32"/>
        <v>100</v>
      </c>
      <c r="J53" s="78">
        <f t="shared" si="33"/>
        <v>200</v>
      </c>
      <c r="K53" s="78">
        <f t="shared" si="34"/>
        <v>500</v>
      </c>
      <c r="L53" s="78">
        <f t="shared" si="35"/>
        <v>1000</v>
      </c>
      <c r="M53" s="78">
        <f t="shared" si="36"/>
        <v>5000</v>
      </c>
    </row>
    <row r="54" spans="1:13" ht="15.75" customHeight="1" x14ac:dyDescent="0.25">
      <c r="A54" s="21">
        <v>2076</v>
      </c>
      <c r="B54" s="78">
        <f t="shared" si="25"/>
        <v>3</v>
      </c>
      <c r="C54" s="78">
        <f t="shared" si="26"/>
        <v>4</v>
      </c>
      <c r="D54" s="78">
        <f t="shared" si="27"/>
        <v>5</v>
      </c>
      <c r="E54" s="78">
        <f t="shared" si="28"/>
        <v>7</v>
      </c>
      <c r="F54" s="78">
        <f t="shared" si="29"/>
        <v>10</v>
      </c>
      <c r="G54" s="78">
        <f t="shared" si="30"/>
        <v>20</v>
      </c>
      <c r="H54" s="78">
        <f t="shared" si="31"/>
        <v>50</v>
      </c>
      <c r="I54" s="78">
        <f t="shared" si="32"/>
        <v>100</v>
      </c>
      <c r="J54" s="78">
        <f t="shared" si="33"/>
        <v>200</v>
      </c>
      <c r="K54" s="78">
        <f t="shared" si="34"/>
        <v>500</v>
      </c>
      <c r="L54" s="78">
        <f t="shared" si="35"/>
        <v>1000</v>
      </c>
      <c r="M54" s="78">
        <f t="shared" si="36"/>
        <v>5000</v>
      </c>
    </row>
    <row r="55" spans="1:13" ht="15.75" customHeight="1" x14ac:dyDescent="0.25">
      <c r="A55" s="21">
        <v>2077</v>
      </c>
      <c r="B55" s="78">
        <f t="shared" si="25"/>
        <v>3</v>
      </c>
      <c r="C55" s="78">
        <f t="shared" si="26"/>
        <v>4</v>
      </c>
      <c r="D55" s="78">
        <f t="shared" si="27"/>
        <v>5</v>
      </c>
      <c r="E55" s="78">
        <f t="shared" si="28"/>
        <v>7</v>
      </c>
      <c r="F55" s="78">
        <f t="shared" si="29"/>
        <v>10</v>
      </c>
      <c r="G55" s="78">
        <f t="shared" si="30"/>
        <v>20</v>
      </c>
      <c r="H55" s="78">
        <f t="shared" si="31"/>
        <v>50</v>
      </c>
      <c r="I55" s="78">
        <f t="shared" si="32"/>
        <v>100</v>
      </c>
      <c r="J55" s="78">
        <f t="shared" si="33"/>
        <v>200</v>
      </c>
      <c r="K55" s="78">
        <f t="shared" si="34"/>
        <v>500</v>
      </c>
      <c r="L55" s="78">
        <f t="shared" si="35"/>
        <v>1000</v>
      </c>
      <c r="M55" s="78">
        <f t="shared" si="36"/>
        <v>5000</v>
      </c>
    </row>
    <row r="56" spans="1:13" ht="15.75" customHeight="1" x14ac:dyDescent="0.25">
      <c r="A56" s="21">
        <v>2078</v>
      </c>
      <c r="B56" s="78">
        <f t="shared" si="25"/>
        <v>3</v>
      </c>
      <c r="C56" s="78">
        <f t="shared" si="26"/>
        <v>4</v>
      </c>
      <c r="D56" s="78">
        <f t="shared" si="27"/>
        <v>5</v>
      </c>
      <c r="E56" s="78">
        <f t="shared" si="28"/>
        <v>7</v>
      </c>
      <c r="F56" s="78">
        <f t="shared" si="29"/>
        <v>10</v>
      </c>
      <c r="G56" s="78">
        <f t="shared" si="30"/>
        <v>20</v>
      </c>
      <c r="H56" s="78">
        <f t="shared" si="31"/>
        <v>50</v>
      </c>
      <c r="I56" s="78">
        <f t="shared" si="32"/>
        <v>100</v>
      </c>
      <c r="J56" s="78">
        <f t="shared" si="33"/>
        <v>200</v>
      </c>
      <c r="K56" s="78">
        <f t="shared" si="34"/>
        <v>500</v>
      </c>
      <c r="L56" s="78">
        <f t="shared" si="35"/>
        <v>1000</v>
      </c>
      <c r="M56" s="78">
        <f t="shared" si="36"/>
        <v>5000</v>
      </c>
    </row>
    <row r="57" spans="1:13" ht="15.75" customHeight="1" x14ac:dyDescent="0.25">
      <c r="A57" s="21">
        <v>2079</v>
      </c>
      <c r="B57" s="78">
        <f t="shared" si="25"/>
        <v>3</v>
      </c>
      <c r="C57" s="78">
        <f t="shared" si="26"/>
        <v>4</v>
      </c>
      <c r="D57" s="78">
        <f t="shared" si="27"/>
        <v>5</v>
      </c>
      <c r="E57" s="78">
        <f t="shared" si="28"/>
        <v>7</v>
      </c>
      <c r="F57" s="78">
        <f t="shared" si="29"/>
        <v>10</v>
      </c>
      <c r="G57" s="78">
        <f t="shared" si="30"/>
        <v>20</v>
      </c>
      <c r="H57" s="78">
        <f t="shared" si="31"/>
        <v>50</v>
      </c>
      <c r="I57" s="78">
        <f t="shared" si="32"/>
        <v>100</v>
      </c>
      <c r="J57" s="78">
        <f t="shared" si="33"/>
        <v>200</v>
      </c>
      <c r="K57" s="78">
        <f t="shared" si="34"/>
        <v>500</v>
      </c>
      <c r="L57" s="78">
        <f t="shared" si="35"/>
        <v>1000</v>
      </c>
      <c r="M57" s="78">
        <f t="shared" si="36"/>
        <v>5000</v>
      </c>
    </row>
    <row r="58" spans="1:13" ht="15.75" customHeight="1" x14ac:dyDescent="0.25">
      <c r="A58" s="21">
        <v>2080</v>
      </c>
      <c r="B58" s="79">
        <v>3</v>
      </c>
      <c r="C58" s="79">
        <v>4</v>
      </c>
      <c r="D58" s="79">
        <v>5</v>
      </c>
      <c r="E58" s="79">
        <v>7</v>
      </c>
      <c r="F58" s="79">
        <v>10</v>
      </c>
      <c r="G58" s="79">
        <v>20</v>
      </c>
      <c r="H58" s="79">
        <v>50</v>
      </c>
      <c r="I58" s="79">
        <v>100</v>
      </c>
      <c r="J58" s="79">
        <v>200</v>
      </c>
      <c r="K58" s="79">
        <v>500</v>
      </c>
      <c r="L58" s="79">
        <v>1000</v>
      </c>
      <c r="M58" s="79">
        <v>5000</v>
      </c>
    </row>
    <row r="59" spans="1:13" ht="15.75" customHeight="1" x14ac:dyDescent="0.25">
      <c r="A59" s="21">
        <v>2081</v>
      </c>
      <c r="B59" s="78">
        <f t="shared" ref="B59:B77" si="37">B58+(B$78-B$58)/20</f>
        <v>3</v>
      </c>
      <c r="C59" s="78">
        <f t="shared" ref="C59:C77" si="38">C58+(C$78-C$58)/20</f>
        <v>4</v>
      </c>
      <c r="D59" s="78">
        <f t="shared" ref="D59:D77" si="39">D58+(D$78-D$58)/20</f>
        <v>5</v>
      </c>
      <c r="E59" s="78">
        <f t="shared" ref="E59:E77" si="40">E58+(E$78-E$58)/20</f>
        <v>7</v>
      </c>
      <c r="F59" s="78">
        <f t="shared" ref="F59:F77" si="41">F58+(F$78-F$58)/20</f>
        <v>10</v>
      </c>
      <c r="G59" s="78">
        <f t="shared" ref="G59:G77" si="42">G58+(G$78-G$58)/20</f>
        <v>20</v>
      </c>
      <c r="H59" s="78">
        <f t="shared" ref="H59:H77" si="43">H58+(H$78-H$58)/20</f>
        <v>50</v>
      </c>
      <c r="I59" s="78">
        <f t="shared" ref="I59:I77" si="44">I58+(I$78-I$58)/20</f>
        <v>100</v>
      </c>
      <c r="J59" s="78">
        <f t="shared" ref="J59:J77" si="45">J58+(J$78-J$58)/20</f>
        <v>200</v>
      </c>
      <c r="K59" s="78">
        <f t="shared" ref="K59:K77" si="46">K58+(K$78-K$58)/20</f>
        <v>500</v>
      </c>
      <c r="L59" s="78">
        <f t="shared" ref="L59:L77" si="47">L58+(L$78-L$58)/20</f>
        <v>1000</v>
      </c>
      <c r="M59" s="78">
        <f t="shared" ref="M59:M77" si="48">M58+(M$78-M$58)/20</f>
        <v>5000</v>
      </c>
    </row>
    <row r="60" spans="1:13" ht="15.75" customHeight="1" x14ac:dyDescent="0.25">
      <c r="A60" s="21">
        <v>2082</v>
      </c>
      <c r="B60" s="78">
        <f t="shared" si="37"/>
        <v>3</v>
      </c>
      <c r="C60" s="78">
        <f t="shared" si="38"/>
        <v>4</v>
      </c>
      <c r="D60" s="78">
        <f t="shared" si="39"/>
        <v>5</v>
      </c>
      <c r="E60" s="78">
        <f t="shared" si="40"/>
        <v>7</v>
      </c>
      <c r="F60" s="78">
        <f t="shared" si="41"/>
        <v>10</v>
      </c>
      <c r="G60" s="78">
        <f t="shared" si="42"/>
        <v>20</v>
      </c>
      <c r="H60" s="78">
        <f t="shared" si="43"/>
        <v>50</v>
      </c>
      <c r="I60" s="78">
        <f t="shared" si="44"/>
        <v>100</v>
      </c>
      <c r="J60" s="78">
        <f t="shared" si="45"/>
        <v>200</v>
      </c>
      <c r="K60" s="78">
        <f t="shared" si="46"/>
        <v>500</v>
      </c>
      <c r="L60" s="78">
        <f t="shared" si="47"/>
        <v>1000</v>
      </c>
      <c r="M60" s="78">
        <f t="shared" si="48"/>
        <v>5000</v>
      </c>
    </row>
    <row r="61" spans="1:13" ht="15.75" customHeight="1" x14ac:dyDescent="0.25">
      <c r="A61" s="21">
        <v>2083</v>
      </c>
      <c r="B61" s="78">
        <f t="shared" si="37"/>
        <v>3</v>
      </c>
      <c r="C61" s="78">
        <f t="shared" si="38"/>
        <v>4</v>
      </c>
      <c r="D61" s="78">
        <f t="shared" si="39"/>
        <v>5</v>
      </c>
      <c r="E61" s="78">
        <f t="shared" si="40"/>
        <v>7</v>
      </c>
      <c r="F61" s="78">
        <f t="shared" si="41"/>
        <v>10</v>
      </c>
      <c r="G61" s="78">
        <f t="shared" si="42"/>
        <v>20</v>
      </c>
      <c r="H61" s="78">
        <f t="shared" si="43"/>
        <v>50</v>
      </c>
      <c r="I61" s="78">
        <f t="shared" si="44"/>
        <v>100</v>
      </c>
      <c r="J61" s="78">
        <f t="shared" si="45"/>
        <v>200</v>
      </c>
      <c r="K61" s="78">
        <f t="shared" si="46"/>
        <v>500</v>
      </c>
      <c r="L61" s="78">
        <f t="shared" si="47"/>
        <v>1000</v>
      </c>
      <c r="M61" s="78">
        <f t="shared" si="48"/>
        <v>5000</v>
      </c>
    </row>
    <row r="62" spans="1:13" ht="15.75" customHeight="1" x14ac:dyDescent="0.25">
      <c r="A62" s="21">
        <v>2084</v>
      </c>
      <c r="B62" s="78">
        <f t="shared" si="37"/>
        <v>3</v>
      </c>
      <c r="C62" s="78">
        <f t="shared" si="38"/>
        <v>4</v>
      </c>
      <c r="D62" s="78">
        <f t="shared" si="39"/>
        <v>5</v>
      </c>
      <c r="E62" s="78">
        <f t="shared" si="40"/>
        <v>7</v>
      </c>
      <c r="F62" s="78">
        <f t="shared" si="41"/>
        <v>10</v>
      </c>
      <c r="G62" s="78">
        <f t="shared" si="42"/>
        <v>20</v>
      </c>
      <c r="H62" s="78">
        <f t="shared" si="43"/>
        <v>50</v>
      </c>
      <c r="I62" s="78">
        <f t="shared" si="44"/>
        <v>100</v>
      </c>
      <c r="J62" s="78">
        <f t="shared" si="45"/>
        <v>200</v>
      </c>
      <c r="K62" s="78">
        <f t="shared" si="46"/>
        <v>500</v>
      </c>
      <c r="L62" s="78">
        <f t="shared" si="47"/>
        <v>1000</v>
      </c>
      <c r="M62" s="78">
        <f t="shared" si="48"/>
        <v>5000</v>
      </c>
    </row>
    <row r="63" spans="1:13" ht="15.75" customHeight="1" x14ac:dyDescent="0.25">
      <c r="A63" s="21">
        <v>2085</v>
      </c>
      <c r="B63" s="78">
        <f t="shared" si="37"/>
        <v>3</v>
      </c>
      <c r="C63" s="78">
        <f t="shared" si="38"/>
        <v>4</v>
      </c>
      <c r="D63" s="78">
        <f t="shared" si="39"/>
        <v>5</v>
      </c>
      <c r="E63" s="78">
        <f t="shared" si="40"/>
        <v>7</v>
      </c>
      <c r="F63" s="78">
        <f t="shared" si="41"/>
        <v>10</v>
      </c>
      <c r="G63" s="78">
        <f t="shared" si="42"/>
        <v>20</v>
      </c>
      <c r="H63" s="78">
        <f t="shared" si="43"/>
        <v>50</v>
      </c>
      <c r="I63" s="78">
        <f t="shared" si="44"/>
        <v>100</v>
      </c>
      <c r="J63" s="78">
        <f t="shared" si="45"/>
        <v>200</v>
      </c>
      <c r="K63" s="78">
        <f t="shared" si="46"/>
        <v>500</v>
      </c>
      <c r="L63" s="78">
        <f t="shared" si="47"/>
        <v>1000</v>
      </c>
      <c r="M63" s="78">
        <f t="shared" si="48"/>
        <v>5000</v>
      </c>
    </row>
    <row r="64" spans="1:13" ht="15.75" customHeight="1" x14ac:dyDescent="0.25">
      <c r="A64" s="21">
        <v>2086</v>
      </c>
      <c r="B64" s="78">
        <f t="shared" si="37"/>
        <v>3</v>
      </c>
      <c r="C64" s="78">
        <f t="shared" si="38"/>
        <v>4</v>
      </c>
      <c r="D64" s="78">
        <f t="shared" si="39"/>
        <v>5</v>
      </c>
      <c r="E64" s="78">
        <f t="shared" si="40"/>
        <v>7</v>
      </c>
      <c r="F64" s="78">
        <f t="shared" si="41"/>
        <v>10</v>
      </c>
      <c r="G64" s="78">
        <f t="shared" si="42"/>
        <v>20</v>
      </c>
      <c r="H64" s="78">
        <f t="shared" si="43"/>
        <v>50</v>
      </c>
      <c r="I64" s="78">
        <f t="shared" si="44"/>
        <v>100</v>
      </c>
      <c r="J64" s="78">
        <f t="shared" si="45"/>
        <v>200</v>
      </c>
      <c r="K64" s="78">
        <f t="shared" si="46"/>
        <v>500</v>
      </c>
      <c r="L64" s="78">
        <f t="shared" si="47"/>
        <v>1000</v>
      </c>
      <c r="M64" s="78">
        <f t="shared" si="48"/>
        <v>5000</v>
      </c>
    </row>
    <row r="65" spans="1:13" ht="15.75" customHeight="1" x14ac:dyDescent="0.25">
      <c r="A65" s="21">
        <v>2087</v>
      </c>
      <c r="B65" s="78">
        <f t="shared" si="37"/>
        <v>3</v>
      </c>
      <c r="C65" s="78">
        <f t="shared" si="38"/>
        <v>4</v>
      </c>
      <c r="D65" s="78">
        <f t="shared" si="39"/>
        <v>5</v>
      </c>
      <c r="E65" s="78">
        <f t="shared" si="40"/>
        <v>7</v>
      </c>
      <c r="F65" s="78">
        <f t="shared" si="41"/>
        <v>10</v>
      </c>
      <c r="G65" s="78">
        <f t="shared" si="42"/>
        <v>20</v>
      </c>
      <c r="H65" s="78">
        <f t="shared" si="43"/>
        <v>50</v>
      </c>
      <c r="I65" s="78">
        <f t="shared" si="44"/>
        <v>100</v>
      </c>
      <c r="J65" s="78">
        <f t="shared" si="45"/>
        <v>200</v>
      </c>
      <c r="K65" s="78">
        <f t="shared" si="46"/>
        <v>500</v>
      </c>
      <c r="L65" s="78">
        <f t="shared" si="47"/>
        <v>1000</v>
      </c>
      <c r="M65" s="78">
        <f t="shared" si="48"/>
        <v>5000</v>
      </c>
    </row>
    <row r="66" spans="1:13" ht="15.75" customHeight="1" x14ac:dyDescent="0.25">
      <c r="A66" s="21">
        <v>2088</v>
      </c>
      <c r="B66" s="78">
        <f t="shared" si="37"/>
        <v>3</v>
      </c>
      <c r="C66" s="78">
        <f t="shared" si="38"/>
        <v>4</v>
      </c>
      <c r="D66" s="78">
        <f t="shared" si="39"/>
        <v>5</v>
      </c>
      <c r="E66" s="78">
        <f t="shared" si="40"/>
        <v>7</v>
      </c>
      <c r="F66" s="78">
        <f t="shared" si="41"/>
        <v>10</v>
      </c>
      <c r="G66" s="78">
        <f t="shared" si="42"/>
        <v>20</v>
      </c>
      <c r="H66" s="78">
        <f t="shared" si="43"/>
        <v>50</v>
      </c>
      <c r="I66" s="78">
        <f t="shared" si="44"/>
        <v>100</v>
      </c>
      <c r="J66" s="78">
        <f t="shared" si="45"/>
        <v>200</v>
      </c>
      <c r="K66" s="78">
        <f t="shared" si="46"/>
        <v>500</v>
      </c>
      <c r="L66" s="78">
        <f t="shared" si="47"/>
        <v>1000</v>
      </c>
      <c r="M66" s="78">
        <f t="shared" si="48"/>
        <v>5000</v>
      </c>
    </row>
    <row r="67" spans="1:13" ht="15.75" customHeight="1" x14ac:dyDescent="0.25">
      <c r="A67" s="21">
        <v>2089</v>
      </c>
      <c r="B67" s="78">
        <f t="shared" si="37"/>
        <v>3</v>
      </c>
      <c r="C67" s="78">
        <f t="shared" si="38"/>
        <v>4</v>
      </c>
      <c r="D67" s="78">
        <f t="shared" si="39"/>
        <v>5</v>
      </c>
      <c r="E67" s="78">
        <f t="shared" si="40"/>
        <v>7</v>
      </c>
      <c r="F67" s="78">
        <f t="shared" si="41"/>
        <v>10</v>
      </c>
      <c r="G67" s="78">
        <f t="shared" si="42"/>
        <v>20</v>
      </c>
      <c r="H67" s="78">
        <f t="shared" si="43"/>
        <v>50</v>
      </c>
      <c r="I67" s="78">
        <f t="shared" si="44"/>
        <v>100</v>
      </c>
      <c r="J67" s="78">
        <f t="shared" si="45"/>
        <v>200</v>
      </c>
      <c r="K67" s="78">
        <f t="shared" si="46"/>
        <v>500</v>
      </c>
      <c r="L67" s="78">
        <f t="shared" si="47"/>
        <v>1000</v>
      </c>
      <c r="M67" s="78">
        <f t="shared" si="48"/>
        <v>5000</v>
      </c>
    </row>
    <row r="68" spans="1:13" ht="15.75" customHeight="1" x14ac:dyDescent="0.25">
      <c r="A68" s="21">
        <v>2090</v>
      </c>
      <c r="B68" s="78">
        <f t="shared" si="37"/>
        <v>3</v>
      </c>
      <c r="C68" s="78">
        <f t="shared" si="38"/>
        <v>4</v>
      </c>
      <c r="D68" s="78">
        <f t="shared" si="39"/>
        <v>5</v>
      </c>
      <c r="E68" s="78">
        <f t="shared" si="40"/>
        <v>7</v>
      </c>
      <c r="F68" s="78">
        <f t="shared" si="41"/>
        <v>10</v>
      </c>
      <c r="G68" s="78">
        <f t="shared" si="42"/>
        <v>20</v>
      </c>
      <c r="H68" s="78">
        <f t="shared" si="43"/>
        <v>50</v>
      </c>
      <c r="I68" s="78">
        <f t="shared" si="44"/>
        <v>100</v>
      </c>
      <c r="J68" s="78">
        <f t="shared" si="45"/>
        <v>200</v>
      </c>
      <c r="K68" s="78">
        <f t="shared" si="46"/>
        <v>500</v>
      </c>
      <c r="L68" s="78">
        <f t="shared" si="47"/>
        <v>1000</v>
      </c>
      <c r="M68" s="78">
        <f t="shared" si="48"/>
        <v>5000</v>
      </c>
    </row>
    <row r="69" spans="1:13" ht="15.75" customHeight="1" x14ac:dyDescent="0.25">
      <c r="A69" s="21">
        <v>2091</v>
      </c>
      <c r="B69" s="78">
        <f t="shared" si="37"/>
        <v>3</v>
      </c>
      <c r="C69" s="78">
        <f t="shared" si="38"/>
        <v>4</v>
      </c>
      <c r="D69" s="78">
        <f t="shared" si="39"/>
        <v>5</v>
      </c>
      <c r="E69" s="78">
        <f t="shared" si="40"/>
        <v>7</v>
      </c>
      <c r="F69" s="78">
        <f t="shared" si="41"/>
        <v>10</v>
      </c>
      <c r="G69" s="78">
        <f t="shared" si="42"/>
        <v>20</v>
      </c>
      <c r="H69" s="78">
        <f t="shared" si="43"/>
        <v>50</v>
      </c>
      <c r="I69" s="78">
        <f t="shared" si="44"/>
        <v>100</v>
      </c>
      <c r="J69" s="78">
        <f t="shared" si="45"/>
        <v>200</v>
      </c>
      <c r="K69" s="78">
        <f t="shared" si="46"/>
        <v>500</v>
      </c>
      <c r="L69" s="78">
        <f t="shared" si="47"/>
        <v>1000</v>
      </c>
      <c r="M69" s="78">
        <f t="shared" si="48"/>
        <v>5000</v>
      </c>
    </row>
    <row r="70" spans="1:13" ht="15.75" customHeight="1" x14ac:dyDescent="0.25">
      <c r="A70" s="21">
        <v>2092</v>
      </c>
      <c r="B70" s="78">
        <f t="shared" si="37"/>
        <v>3</v>
      </c>
      <c r="C70" s="78">
        <f t="shared" si="38"/>
        <v>4</v>
      </c>
      <c r="D70" s="78">
        <f t="shared" si="39"/>
        <v>5</v>
      </c>
      <c r="E70" s="78">
        <f t="shared" si="40"/>
        <v>7</v>
      </c>
      <c r="F70" s="78">
        <f t="shared" si="41"/>
        <v>10</v>
      </c>
      <c r="G70" s="78">
        <f t="shared" si="42"/>
        <v>20</v>
      </c>
      <c r="H70" s="78">
        <f t="shared" si="43"/>
        <v>50</v>
      </c>
      <c r="I70" s="78">
        <f t="shared" si="44"/>
        <v>100</v>
      </c>
      <c r="J70" s="78">
        <f t="shared" si="45"/>
        <v>200</v>
      </c>
      <c r="K70" s="78">
        <f t="shared" si="46"/>
        <v>500</v>
      </c>
      <c r="L70" s="78">
        <f t="shared" si="47"/>
        <v>1000</v>
      </c>
      <c r="M70" s="78">
        <f t="shared" si="48"/>
        <v>5000</v>
      </c>
    </row>
    <row r="71" spans="1:13" ht="15.75" customHeight="1" x14ac:dyDescent="0.25">
      <c r="A71" s="21">
        <v>2093</v>
      </c>
      <c r="B71" s="78">
        <f t="shared" si="37"/>
        <v>3</v>
      </c>
      <c r="C71" s="78">
        <f t="shared" si="38"/>
        <v>4</v>
      </c>
      <c r="D71" s="78">
        <f t="shared" si="39"/>
        <v>5</v>
      </c>
      <c r="E71" s="78">
        <f t="shared" si="40"/>
        <v>7</v>
      </c>
      <c r="F71" s="78">
        <f t="shared" si="41"/>
        <v>10</v>
      </c>
      <c r="G71" s="78">
        <f t="shared" si="42"/>
        <v>20</v>
      </c>
      <c r="H71" s="78">
        <f t="shared" si="43"/>
        <v>50</v>
      </c>
      <c r="I71" s="78">
        <f t="shared" si="44"/>
        <v>100</v>
      </c>
      <c r="J71" s="78">
        <f t="shared" si="45"/>
        <v>200</v>
      </c>
      <c r="K71" s="78">
        <f t="shared" si="46"/>
        <v>500</v>
      </c>
      <c r="L71" s="78">
        <f t="shared" si="47"/>
        <v>1000</v>
      </c>
      <c r="M71" s="78">
        <f t="shared" si="48"/>
        <v>5000</v>
      </c>
    </row>
    <row r="72" spans="1:13" ht="15.75" customHeight="1" x14ac:dyDescent="0.25">
      <c r="A72" s="21">
        <v>2094</v>
      </c>
      <c r="B72" s="78">
        <f t="shared" si="37"/>
        <v>3</v>
      </c>
      <c r="C72" s="78">
        <f t="shared" si="38"/>
        <v>4</v>
      </c>
      <c r="D72" s="78">
        <f t="shared" si="39"/>
        <v>5</v>
      </c>
      <c r="E72" s="78">
        <f t="shared" si="40"/>
        <v>7</v>
      </c>
      <c r="F72" s="78">
        <f t="shared" si="41"/>
        <v>10</v>
      </c>
      <c r="G72" s="78">
        <f t="shared" si="42"/>
        <v>20</v>
      </c>
      <c r="H72" s="78">
        <f t="shared" si="43"/>
        <v>50</v>
      </c>
      <c r="I72" s="78">
        <f t="shared" si="44"/>
        <v>100</v>
      </c>
      <c r="J72" s="78">
        <f t="shared" si="45"/>
        <v>200</v>
      </c>
      <c r="K72" s="78">
        <f t="shared" si="46"/>
        <v>500</v>
      </c>
      <c r="L72" s="78">
        <f t="shared" si="47"/>
        <v>1000</v>
      </c>
      <c r="M72" s="78">
        <f t="shared" si="48"/>
        <v>5000</v>
      </c>
    </row>
    <row r="73" spans="1:13" ht="15.75" customHeight="1" x14ac:dyDescent="0.25">
      <c r="A73" s="21">
        <v>2095</v>
      </c>
      <c r="B73" s="78">
        <f t="shared" si="37"/>
        <v>3</v>
      </c>
      <c r="C73" s="78">
        <f t="shared" si="38"/>
        <v>4</v>
      </c>
      <c r="D73" s="78">
        <f t="shared" si="39"/>
        <v>5</v>
      </c>
      <c r="E73" s="78">
        <f t="shared" si="40"/>
        <v>7</v>
      </c>
      <c r="F73" s="78">
        <f t="shared" si="41"/>
        <v>10</v>
      </c>
      <c r="G73" s="78">
        <f t="shared" si="42"/>
        <v>20</v>
      </c>
      <c r="H73" s="78">
        <f t="shared" si="43"/>
        <v>50</v>
      </c>
      <c r="I73" s="78">
        <f t="shared" si="44"/>
        <v>100</v>
      </c>
      <c r="J73" s="78">
        <f t="shared" si="45"/>
        <v>200</v>
      </c>
      <c r="K73" s="78">
        <f t="shared" si="46"/>
        <v>500</v>
      </c>
      <c r="L73" s="78">
        <f t="shared" si="47"/>
        <v>1000</v>
      </c>
      <c r="M73" s="78">
        <f t="shared" si="48"/>
        <v>5000</v>
      </c>
    </row>
    <row r="74" spans="1:13" ht="15.75" customHeight="1" x14ac:dyDescent="0.25">
      <c r="A74" s="21">
        <v>2096</v>
      </c>
      <c r="B74" s="78">
        <f t="shared" si="37"/>
        <v>3</v>
      </c>
      <c r="C74" s="78">
        <f t="shared" si="38"/>
        <v>4</v>
      </c>
      <c r="D74" s="78">
        <f t="shared" si="39"/>
        <v>5</v>
      </c>
      <c r="E74" s="78">
        <f t="shared" si="40"/>
        <v>7</v>
      </c>
      <c r="F74" s="78">
        <f t="shared" si="41"/>
        <v>10</v>
      </c>
      <c r="G74" s="78">
        <f t="shared" si="42"/>
        <v>20</v>
      </c>
      <c r="H74" s="78">
        <f t="shared" si="43"/>
        <v>50</v>
      </c>
      <c r="I74" s="78">
        <f t="shared" si="44"/>
        <v>100</v>
      </c>
      <c r="J74" s="78">
        <f t="shared" si="45"/>
        <v>200</v>
      </c>
      <c r="K74" s="78">
        <f t="shared" si="46"/>
        <v>500</v>
      </c>
      <c r="L74" s="78">
        <f t="shared" si="47"/>
        <v>1000</v>
      </c>
      <c r="M74" s="78">
        <f t="shared" si="48"/>
        <v>5000</v>
      </c>
    </row>
    <row r="75" spans="1:13" ht="15.75" customHeight="1" x14ac:dyDescent="0.25">
      <c r="A75" s="21">
        <v>2097</v>
      </c>
      <c r="B75" s="78">
        <f t="shared" si="37"/>
        <v>3</v>
      </c>
      <c r="C75" s="78">
        <f t="shared" si="38"/>
        <v>4</v>
      </c>
      <c r="D75" s="78">
        <f t="shared" si="39"/>
        <v>5</v>
      </c>
      <c r="E75" s="78">
        <f t="shared" si="40"/>
        <v>7</v>
      </c>
      <c r="F75" s="78">
        <f t="shared" si="41"/>
        <v>10</v>
      </c>
      <c r="G75" s="78">
        <f t="shared" si="42"/>
        <v>20</v>
      </c>
      <c r="H75" s="78">
        <f t="shared" si="43"/>
        <v>50</v>
      </c>
      <c r="I75" s="78">
        <f t="shared" si="44"/>
        <v>100</v>
      </c>
      <c r="J75" s="78">
        <f t="shared" si="45"/>
        <v>200</v>
      </c>
      <c r="K75" s="78">
        <f t="shared" si="46"/>
        <v>500</v>
      </c>
      <c r="L75" s="78">
        <f t="shared" si="47"/>
        <v>1000</v>
      </c>
      <c r="M75" s="78">
        <f t="shared" si="48"/>
        <v>5000</v>
      </c>
    </row>
    <row r="76" spans="1:13" ht="15.75" customHeight="1" x14ac:dyDescent="0.25">
      <c r="A76" s="21">
        <v>2098</v>
      </c>
      <c r="B76" s="78">
        <f t="shared" si="37"/>
        <v>3</v>
      </c>
      <c r="C76" s="78">
        <f t="shared" si="38"/>
        <v>4</v>
      </c>
      <c r="D76" s="78">
        <f t="shared" si="39"/>
        <v>5</v>
      </c>
      <c r="E76" s="78">
        <f t="shared" si="40"/>
        <v>7</v>
      </c>
      <c r="F76" s="78">
        <f t="shared" si="41"/>
        <v>10</v>
      </c>
      <c r="G76" s="78">
        <f t="shared" si="42"/>
        <v>20</v>
      </c>
      <c r="H76" s="78">
        <f t="shared" si="43"/>
        <v>50</v>
      </c>
      <c r="I76" s="78">
        <f t="shared" si="44"/>
        <v>100</v>
      </c>
      <c r="J76" s="78">
        <f t="shared" si="45"/>
        <v>200</v>
      </c>
      <c r="K76" s="78">
        <f t="shared" si="46"/>
        <v>500</v>
      </c>
      <c r="L76" s="78">
        <f t="shared" si="47"/>
        <v>1000</v>
      </c>
      <c r="M76" s="78">
        <f t="shared" si="48"/>
        <v>5000</v>
      </c>
    </row>
    <row r="77" spans="1:13" ht="15.75" customHeight="1" x14ac:dyDescent="0.25">
      <c r="A77" s="21">
        <v>2099</v>
      </c>
      <c r="B77" s="78">
        <f t="shared" si="37"/>
        <v>3</v>
      </c>
      <c r="C77" s="78">
        <f t="shared" si="38"/>
        <v>4</v>
      </c>
      <c r="D77" s="78">
        <f t="shared" si="39"/>
        <v>5</v>
      </c>
      <c r="E77" s="78">
        <f t="shared" si="40"/>
        <v>7</v>
      </c>
      <c r="F77" s="78">
        <f t="shared" si="41"/>
        <v>10</v>
      </c>
      <c r="G77" s="78">
        <f t="shared" si="42"/>
        <v>20</v>
      </c>
      <c r="H77" s="78">
        <f t="shared" si="43"/>
        <v>50</v>
      </c>
      <c r="I77" s="78">
        <f t="shared" si="44"/>
        <v>100</v>
      </c>
      <c r="J77" s="78">
        <f t="shared" si="45"/>
        <v>200</v>
      </c>
      <c r="K77" s="78">
        <f t="shared" si="46"/>
        <v>500</v>
      </c>
      <c r="L77" s="78">
        <f t="shared" si="47"/>
        <v>1000</v>
      </c>
      <c r="M77" s="78">
        <f t="shared" si="48"/>
        <v>5000</v>
      </c>
    </row>
    <row r="78" spans="1:13" ht="15.75" customHeight="1" x14ac:dyDescent="0.25">
      <c r="A78" s="21">
        <v>2100</v>
      </c>
      <c r="B78" s="79">
        <v>3</v>
      </c>
      <c r="C78" s="79">
        <v>4</v>
      </c>
      <c r="D78" s="79">
        <v>5</v>
      </c>
      <c r="E78" s="79">
        <v>7</v>
      </c>
      <c r="F78" s="79">
        <v>10</v>
      </c>
      <c r="G78" s="79">
        <v>20</v>
      </c>
      <c r="H78" s="79">
        <v>50</v>
      </c>
      <c r="I78" s="79">
        <v>100</v>
      </c>
      <c r="J78" s="79">
        <v>200</v>
      </c>
      <c r="K78" s="79">
        <v>500</v>
      </c>
      <c r="L78" s="79">
        <v>1000</v>
      </c>
      <c r="M78" s="79">
        <v>5000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P30"/>
  <sheetViews>
    <sheetView topLeftCell="A2" workbookViewId="0">
      <pane xSplit="1" ySplit="2" topLeftCell="B4" activePane="bottomRight" state="frozen"/>
      <selection activeCell="A2" sqref="A2:I8"/>
      <selection pane="topRight" activeCell="A2" sqref="A2:I8"/>
      <selection pane="bottomLeft" activeCell="A2" sqref="A2:I8"/>
      <selection pane="bottomRight" activeCell="A3" sqref="A3:I20"/>
    </sheetView>
  </sheetViews>
  <sheetFormatPr baseColWidth="10" defaultColWidth="10.7109375" defaultRowHeight="15" x14ac:dyDescent="0.2"/>
  <cols>
    <col min="1" max="2" width="23.7109375" style="4" customWidth="1"/>
    <col min="3" max="3" width="23.140625" style="4" customWidth="1"/>
    <col min="4" max="4" width="17.42578125" style="4" customWidth="1"/>
    <col min="5" max="5" width="10.7109375" style="4" customWidth="1"/>
    <col min="6" max="6" width="15.42578125" style="4" customWidth="1"/>
    <col min="7" max="7" width="11.140625" style="4" customWidth="1"/>
    <col min="8" max="8" width="17" style="4" customWidth="1"/>
    <col min="9" max="9" width="11.140625" style="4" customWidth="1"/>
    <col min="10" max="12" width="5.7109375" style="4" customWidth="1"/>
    <col min="13" max="13" width="19" style="4" customWidth="1"/>
    <col min="14" max="14" width="15.7109375" style="4" customWidth="1"/>
    <col min="15" max="16" width="5.7109375" style="4" customWidth="1"/>
    <col min="17" max="20" width="8.28515625" style="4" customWidth="1"/>
    <col min="21" max="24" width="13.140625" style="4" customWidth="1"/>
    <col min="25" max="25" width="10.7109375" style="4" customWidth="1"/>
    <col min="26" max="16384" width="10.7109375" style="4"/>
  </cols>
  <sheetData>
    <row r="1" spans="1:16" x14ac:dyDescent="0.2">
      <c r="A1" s="20"/>
      <c r="B1" s="20"/>
      <c r="C1" s="20"/>
      <c r="D1" s="20"/>
      <c r="E1" s="20"/>
      <c r="F1" s="20"/>
      <c r="G1" s="20"/>
      <c r="H1" s="20"/>
      <c r="I1" s="19"/>
    </row>
    <row r="2" spans="1:16" ht="15.75" customHeight="1" thickBot="1" x14ac:dyDescent="0.25">
      <c r="A2" s="19"/>
      <c r="B2" s="19"/>
      <c r="C2" s="19"/>
      <c r="D2" s="19"/>
      <c r="E2" s="19"/>
      <c r="F2" s="19"/>
      <c r="G2" s="19"/>
      <c r="H2" s="19"/>
      <c r="I2" s="19"/>
    </row>
    <row r="3" spans="1:16" ht="52.15" customHeight="1" thickTop="1" thickBot="1" x14ac:dyDescent="0.3">
      <c r="A3" s="75" t="s">
        <v>0</v>
      </c>
      <c r="B3" s="73"/>
      <c r="C3" s="73"/>
      <c r="D3" s="73"/>
      <c r="E3" s="73"/>
      <c r="F3" s="73"/>
      <c r="G3" s="73"/>
      <c r="H3" s="73"/>
      <c r="I3" s="74"/>
    </row>
    <row r="4" spans="1:16" ht="63" customHeight="1" thickTop="1" x14ac:dyDescent="0.2">
      <c r="A4" s="54" t="s">
        <v>1</v>
      </c>
      <c r="B4" s="58" t="s">
        <v>2</v>
      </c>
      <c r="C4" s="51" t="s">
        <v>3</v>
      </c>
      <c r="D4" s="31" t="s">
        <v>4</v>
      </c>
      <c r="E4" s="18" t="s">
        <v>5</v>
      </c>
      <c r="F4" s="31" t="s">
        <v>6</v>
      </c>
      <c r="G4" s="18" t="s">
        <v>7</v>
      </c>
      <c r="H4" s="58" t="s">
        <v>8</v>
      </c>
      <c r="I4" s="18" t="s">
        <v>7</v>
      </c>
      <c r="J4" s="16"/>
      <c r="K4" s="16"/>
      <c r="L4" s="16"/>
      <c r="M4" s="17" t="s">
        <v>9</v>
      </c>
      <c r="N4" s="17" t="s">
        <v>10</v>
      </c>
      <c r="O4" s="16"/>
      <c r="P4" s="16"/>
    </row>
    <row r="5" spans="1:16" ht="19.899999999999999" customHeight="1" x14ac:dyDescent="0.2">
      <c r="A5" s="55">
        <v>0</v>
      </c>
      <c r="B5" s="63">
        <v>0</v>
      </c>
      <c r="C5" s="52">
        <v>0</v>
      </c>
      <c r="D5" s="39" t="e">
        <f t="shared" ref="D5:D18" si="0">E5*$C$23</f>
        <v>#REF!</v>
      </c>
      <c r="E5" s="32" t="e">
        <f>[1]E4p!$B$4</f>
        <v>#REF!</v>
      </c>
      <c r="F5" s="43" t="e">
        <f t="shared" ref="F5:F19" si="1">G5*$D$23</f>
        <v>#REF!</v>
      </c>
      <c r="G5" s="13" t="e">
        <f>[2]E4w!$B$4</f>
        <v>#REF!</v>
      </c>
      <c r="H5" s="43" t="e">
        <f t="shared" ref="H5:H19" si="2">I5*$D$23</f>
        <v>#REF!</v>
      </c>
      <c r="I5" s="32" t="e">
        <f>[3]E4r!$B$4</f>
        <v>#REF!</v>
      </c>
      <c r="J5" s="15"/>
      <c r="M5" s="12">
        <v>0</v>
      </c>
      <c r="N5" s="11">
        <f>(C8*A8-C5*A5)/(A8-A5)</f>
        <v>0</v>
      </c>
      <c r="O5" s="16"/>
      <c r="P5" s="16"/>
    </row>
    <row r="6" spans="1:16" ht="19.899999999999999" customHeight="1" x14ac:dyDescent="0.2">
      <c r="A6" s="55">
        <v>1</v>
      </c>
      <c r="B6" s="63" t="e">
        <f>100*INT(M$6*C29/100)</f>
        <v>#REF!</v>
      </c>
      <c r="C6" s="52">
        <v>0</v>
      </c>
      <c r="D6" s="39" t="e">
        <f t="shared" si="0"/>
        <v>#REF!</v>
      </c>
      <c r="E6" s="32" t="e">
        <f>[1]E4p!$C$4</f>
        <v>#REF!</v>
      </c>
      <c r="F6" s="43" t="e">
        <f t="shared" si="1"/>
        <v>#REF!</v>
      </c>
      <c r="G6" s="13" t="e">
        <f>[2]E4w!$C$4</f>
        <v>#REF!</v>
      </c>
      <c r="H6" s="43" t="e">
        <f t="shared" si="2"/>
        <v>#REF!</v>
      </c>
      <c r="I6" s="32" t="e">
        <f>[3]E4r!$C$4</f>
        <v>#REF!</v>
      </c>
      <c r="J6" s="15"/>
      <c r="M6" s="12" t="e">
        <f>100*INT([4]C4cp!B61/100)</f>
        <v>#REF!</v>
      </c>
      <c r="N6" s="11">
        <f>(C9*A9-C6*A6)/(A9-A6)</f>
        <v>0</v>
      </c>
      <c r="O6" s="16"/>
      <c r="P6" s="16"/>
    </row>
    <row r="7" spans="1:16" ht="19.899999999999999" customHeight="1" x14ac:dyDescent="0.2">
      <c r="A7" s="55">
        <v>5</v>
      </c>
      <c r="B7" s="63" t="e">
        <f t="shared" ref="B7:B18" si="3">A7*B$6</f>
        <v>#REF!</v>
      </c>
      <c r="C7" s="52">
        <v>0</v>
      </c>
      <c r="D7" s="39" t="e">
        <f t="shared" si="0"/>
        <v>#REF!</v>
      </c>
      <c r="E7" s="32" t="e">
        <f>[1]E4p!$D$4</f>
        <v>#REF!</v>
      </c>
      <c r="F7" s="43" t="e">
        <f t="shared" si="1"/>
        <v>#REF!</v>
      </c>
      <c r="G7" s="13" t="e">
        <f>[2]E4w!$D$4</f>
        <v>#REF!</v>
      </c>
      <c r="H7" s="43" t="e">
        <f t="shared" si="2"/>
        <v>#REF!</v>
      </c>
      <c r="I7" s="32" t="e">
        <f>[3]E4r!$D$4</f>
        <v>#REF!</v>
      </c>
      <c r="J7" s="15"/>
      <c r="M7" s="12" t="e">
        <f t="shared" ref="M7:M18" si="4">A7*M$6</f>
        <v>#REF!</v>
      </c>
      <c r="N7" s="11">
        <f t="shared" ref="N7:N17" si="5">(C8*A8-C7*A7)/(A8-A7)</f>
        <v>0</v>
      </c>
    </row>
    <row r="8" spans="1:16" ht="19.899999999999999" customHeight="1" x14ac:dyDescent="0.2">
      <c r="A8" s="55">
        <v>8</v>
      </c>
      <c r="B8" s="63" t="e">
        <f t="shared" si="3"/>
        <v>#REF!</v>
      </c>
      <c r="C8" s="52">
        <v>0</v>
      </c>
      <c r="D8" s="39" t="e">
        <f t="shared" si="0"/>
        <v>#REF!</v>
      </c>
      <c r="E8" s="32" t="e">
        <f>[1]E4p!$E$4</f>
        <v>#REF!</v>
      </c>
      <c r="F8" s="43" t="e">
        <f t="shared" si="1"/>
        <v>#REF!</v>
      </c>
      <c r="G8" s="13" t="e">
        <f>[2]E4w!$E$4</f>
        <v>#REF!</v>
      </c>
      <c r="H8" s="43" t="e">
        <f t="shared" si="2"/>
        <v>#REF!</v>
      </c>
      <c r="I8" s="32" t="e">
        <f>[3]E4r!$E$4</f>
        <v>#REF!</v>
      </c>
      <c r="J8" s="15"/>
      <c r="M8" s="12" t="e">
        <f t="shared" si="4"/>
        <v>#REF!</v>
      </c>
      <c r="N8" s="11">
        <f t="shared" si="5"/>
        <v>0</v>
      </c>
    </row>
    <row r="9" spans="1:16" ht="19.899999999999999" customHeight="1" x14ac:dyDescent="0.2">
      <c r="A9" s="55">
        <v>10</v>
      </c>
      <c r="B9" s="63" t="e">
        <f t="shared" si="3"/>
        <v>#REF!</v>
      </c>
      <c r="C9" s="52">
        <v>0</v>
      </c>
      <c r="D9" s="39" t="e">
        <f t="shared" si="0"/>
        <v>#REF!</v>
      </c>
      <c r="E9" s="32" t="e">
        <f>[1]E4p!$F$4</f>
        <v>#REF!</v>
      </c>
      <c r="F9" s="43" t="e">
        <f t="shared" si="1"/>
        <v>#REF!</v>
      </c>
      <c r="G9" s="13" t="e">
        <f>[2]E4w!$F$4</f>
        <v>#REF!</v>
      </c>
      <c r="H9" s="43" t="e">
        <f t="shared" si="2"/>
        <v>#REF!</v>
      </c>
      <c r="I9" s="32" t="e">
        <f>[3]E4r!$F$4</f>
        <v>#REF!</v>
      </c>
      <c r="J9" s="15"/>
      <c r="M9" s="12" t="e">
        <f t="shared" si="4"/>
        <v>#REF!</v>
      </c>
      <c r="N9" s="11">
        <f t="shared" si="5"/>
        <v>1.2E-2</v>
      </c>
    </row>
    <row r="10" spans="1:16" ht="19.899999999999999" customHeight="1" x14ac:dyDescent="0.2">
      <c r="A10" s="55">
        <v>12</v>
      </c>
      <c r="B10" s="63" t="e">
        <f t="shared" si="3"/>
        <v>#REF!</v>
      </c>
      <c r="C10" s="52">
        <v>2E-3</v>
      </c>
      <c r="D10" s="39" t="e">
        <f t="shared" si="0"/>
        <v>#REF!</v>
      </c>
      <c r="E10" s="32" t="e">
        <f>[1]E4p!$G$4</f>
        <v>#REF!</v>
      </c>
      <c r="F10" s="43" t="e">
        <f t="shared" si="1"/>
        <v>#REF!</v>
      </c>
      <c r="G10" s="13" t="e">
        <f>[2]E4w!$G$4</f>
        <v>#REF!</v>
      </c>
      <c r="H10" s="43" t="e">
        <f t="shared" si="2"/>
        <v>#REF!</v>
      </c>
      <c r="I10" s="32" t="e">
        <f>[3]E4r!$G$4</f>
        <v>#REF!</v>
      </c>
      <c r="J10" s="15"/>
      <c r="M10" s="12" t="e">
        <f t="shared" si="4"/>
        <v>#REF!</v>
      </c>
      <c r="N10" s="11">
        <f t="shared" si="5"/>
        <v>1.6999999999999998E-2</v>
      </c>
    </row>
    <row r="11" spans="1:16" ht="19.899999999999999" customHeight="1" x14ac:dyDescent="0.2">
      <c r="A11" s="55">
        <v>15</v>
      </c>
      <c r="B11" s="63" t="e">
        <f t="shared" si="3"/>
        <v>#REF!</v>
      </c>
      <c r="C11" s="52">
        <v>5.0000000000000001E-3</v>
      </c>
      <c r="D11" s="39" t="e">
        <f t="shared" si="0"/>
        <v>#REF!</v>
      </c>
      <c r="E11" s="32" t="e">
        <f>[1]E4p!$H$4</f>
        <v>#REF!</v>
      </c>
      <c r="F11" s="43" t="e">
        <f t="shared" si="1"/>
        <v>#REF!</v>
      </c>
      <c r="G11" s="13" t="e">
        <f>[2]E4w!$H$4</f>
        <v>#REF!</v>
      </c>
      <c r="H11" s="43" t="e">
        <f t="shared" si="2"/>
        <v>#REF!</v>
      </c>
      <c r="I11" s="32" t="e">
        <f>[3]E4r!$H$4</f>
        <v>#REF!</v>
      </c>
      <c r="J11" s="15"/>
      <c r="M11" s="12" t="e">
        <f t="shared" si="4"/>
        <v>#REF!</v>
      </c>
      <c r="N11" s="11">
        <f t="shared" si="5"/>
        <v>2.5000000000000001E-2</v>
      </c>
    </row>
    <row r="12" spans="1:16" ht="19.899999999999999" customHeight="1" x14ac:dyDescent="0.2">
      <c r="A12" s="55">
        <v>20</v>
      </c>
      <c r="B12" s="63" t="e">
        <f t="shared" si="3"/>
        <v>#REF!</v>
      </c>
      <c r="C12" s="52">
        <v>0.01</v>
      </c>
      <c r="D12" s="39" t="e">
        <f t="shared" si="0"/>
        <v>#REF!</v>
      </c>
      <c r="E12" s="32" t="e">
        <f>[1]E4p!$I$4</f>
        <v>#REF!</v>
      </c>
      <c r="F12" s="43" t="e">
        <f t="shared" si="1"/>
        <v>#REF!</v>
      </c>
      <c r="G12" s="13" t="e">
        <f>[2]E4w!$I$4</f>
        <v>#REF!</v>
      </c>
      <c r="H12" s="43" t="e">
        <f t="shared" si="2"/>
        <v>#REF!</v>
      </c>
      <c r="I12" s="32" t="e">
        <f>[3]E4r!$I$4</f>
        <v>#REF!</v>
      </c>
      <c r="J12" s="15"/>
      <c r="M12" s="12" t="e">
        <f t="shared" si="4"/>
        <v>#REF!</v>
      </c>
      <c r="N12" s="11">
        <f t="shared" si="5"/>
        <v>4.3333333333333335E-2</v>
      </c>
    </row>
    <row r="13" spans="1:16" ht="19.899999999999999" customHeight="1" x14ac:dyDescent="0.2">
      <c r="A13" s="55">
        <v>50</v>
      </c>
      <c r="B13" s="63" t="e">
        <f t="shared" si="3"/>
        <v>#REF!</v>
      </c>
      <c r="C13" s="52">
        <v>0.03</v>
      </c>
      <c r="D13" s="40" t="e">
        <f t="shared" si="0"/>
        <v>#REF!</v>
      </c>
      <c r="E13" s="36" t="e">
        <f>[1]E4p!$J$4</f>
        <v>#REF!</v>
      </c>
      <c r="F13" s="43" t="e">
        <f t="shared" si="1"/>
        <v>#REF!</v>
      </c>
      <c r="G13" s="13" t="e">
        <f>[2]E4w!$J$4</f>
        <v>#REF!</v>
      </c>
      <c r="H13" s="43" t="e">
        <f t="shared" si="2"/>
        <v>#REF!</v>
      </c>
      <c r="I13" s="32" t="e">
        <f>[3]E4r!$J$4</f>
        <v>#REF!</v>
      </c>
      <c r="J13" s="15"/>
      <c r="M13" s="12" t="e">
        <f t="shared" si="4"/>
        <v>#REF!</v>
      </c>
      <c r="N13" s="11">
        <f t="shared" si="5"/>
        <v>7.0000000000000007E-2</v>
      </c>
    </row>
    <row r="14" spans="1:16" ht="19.899999999999999" customHeight="1" x14ac:dyDescent="0.2">
      <c r="A14" s="55">
        <v>100</v>
      </c>
      <c r="B14" s="63" t="e">
        <f t="shared" si="3"/>
        <v>#REF!</v>
      </c>
      <c r="C14" s="52">
        <v>0.05</v>
      </c>
      <c r="D14" s="40" t="e">
        <f t="shared" si="0"/>
        <v>#REF!</v>
      </c>
      <c r="E14" s="36" t="e">
        <f>[1]E4p!$K$4</f>
        <v>#REF!</v>
      </c>
      <c r="F14" s="43" t="e">
        <f t="shared" si="1"/>
        <v>#REF!</v>
      </c>
      <c r="G14" s="13" t="e">
        <f>[2]E4w!$K$4</f>
        <v>#REF!</v>
      </c>
      <c r="H14" s="43" t="e">
        <f t="shared" si="2"/>
        <v>#REF!</v>
      </c>
      <c r="I14" s="32" t="e">
        <f>[3]E4r!$K$4</f>
        <v>#REF!</v>
      </c>
      <c r="J14" s="15"/>
      <c r="M14" s="12" t="e">
        <f t="shared" si="4"/>
        <v>#REF!</v>
      </c>
      <c r="N14" s="11">
        <f t="shared" si="5"/>
        <v>0.11</v>
      </c>
    </row>
    <row r="15" spans="1:16" ht="19.899999999999999" customHeight="1" x14ac:dyDescent="0.2">
      <c r="A15" s="55">
        <v>200</v>
      </c>
      <c r="B15" s="63" t="e">
        <f t="shared" si="3"/>
        <v>#REF!</v>
      </c>
      <c r="C15" s="52">
        <v>0.08</v>
      </c>
      <c r="D15" s="40" t="e">
        <f t="shared" si="0"/>
        <v>#REF!</v>
      </c>
      <c r="E15" s="36" t="e">
        <f>[1]E4p!$L$4</f>
        <v>#REF!</v>
      </c>
      <c r="F15" s="43" t="e">
        <f t="shared" si="1"/>
        <v>#REF!</v>
      </c>
      <c r="G15" s="13" t="e">
        <f>[2]E4w!$L$4</f>
        <v>#REF!</v>
      </c>
      <c r="H15" s="43" t="e">
        <f t="shared" si="2"/>
        <v>#REF!</v>
      </c>
      <c r="I15" s="32" t="e">
        <f>[3]E4r!$L$4</f>
        <v>#REF!</v>
      </c>
      <c r="J15" s="15"/>
      <c r="M15" s="12" t="e">
        <f t="shared" si="4"/>
        <v>#REF!</v>
      </c>
      <c r="N15" s="11">
        <f t="shared" si="5"/>
        <v>0.11333333333333333</v>
      </c>
    </row>
    <row r="16" spans="1:16" ht="19.899999999999999" customHeight="1" x14ac:dyDescent="0.2">
      <c r="A16" s="55">
        <v>500</v>
      </c>
      <c r="B16" s="63" t="e">
        <f t="shared" si="3"/>
        <v>#REF!</v>
      </c>
      <c r="C16" s="52">
        <v>0.1</v>
      </c>
      <c r="D16" s="40" t="e">
        <f t="shared" si="0"/>
        <v>#REF!</v>
      </c>
      <c r="E16" s="37" t="e">
        <f>[1]E4p!$M$4</f>
        <v>#REF!</v>
      </c>
      <c r="F16" s="43" t="e">
        <f t="shared" si="1"/>
        <v>#REF!</v>
      </c>
      <c r="G16" s="13" t="e">
        <f>[2]E4w!$M$4</f>
        <v>#REF!</v>
      </c>
      <c r="H16" s="43" t="e">
        <f t="shared" si="2"/>
        <v>#REF!</v>
      </c>
      <c r="I16" s="32" t="e">
        <f>[3]E4r!$M$4</f>
        <v>#REF!</v>
      </c>
      <c r="J16" s="15"/>
      <c r="M16" s="12" t="e">
        <f t="shared" si="4"/>
        <v>#REF!</v>
      </c>
      <c r="N16" s="11">
        <f t="shared" si="5"/>
        <v>0.2</v>
      </c>
    </row>
    <row r="17" spans="1:14" ht="19.899999999999999" customHeight="1" x14ac:dyDescent="0.2">
      <c r="A17" s="55">
        <v>1000</v>
      </c>
      <c r="B17" s="63" t="e">
        <f t="shared" si="3"/>
        <v>#REF!</v>
      </c>
      <c r="C17" s="52">
        <v>0.15</v>
      </c>
      <c r="D17" s="40" t="e">
        <f t="shared" si="0"/>
        <v>#REF!</v>
      </c>
      <c r="E17" s="37" t="e">
        <f>[1]E4p!$N$4</f>
        <v>#REF!</v>
      </c>
      <c r="F17" s="43" t="e">
        <f t="shared" si="1"/>
        <v>#REF!</v>
      </c>
      <c r="G17" s="13" t="e">
        <f>[2]E4w!$N$4</f>
        <v>#REF!</v>
      </c>
      <c r="H17" s="43" t="e">
        <f t="shared" si="2"/>
        <v>#REF!</v>
      </c>
      <c r="I17" s="32" t="e">
        <f>[3]E4r!$N$4</f>
        <v>#REF!</v>
      </c>
      <c r="M17" s="12" t="e">
        <f t="shared" si="4"/>
        <v>#REF!</v>
      </c>
      <c r="N17" s="11">
        <f t="shared" si="5"/>
        <v>0.21249999999999999</v>
      </c>
    </row>
    <row r="18" spans="1:14" ht="19.899999999999999" customHeight="1" thickBot="1" x14ac:dyDescent="0.25">
      <c r="A18" s="56">
        <v>5000</v>
      </c>
      <c r="B18" s="57" t="e">
        <f t="shared" si="3"/>
        <v>#REF!</v>
      </c>
      <c r="C18" s="53">
        <v>0.2</v>
      </c>
      <c r="D18" s="41" t="e">
        <f t="shared" si="0"/>
        <v>#REF!</v>
      </c>
      <c r="E18" s="38" t="e">
        <f>[1]E4p!$O$4</f>
        <v>#REF!</v>
      </c>
      <c r="F18" s="44" t="e">
        <f t="shared" si="1"/>
        <v>#REF!</v>
      </c>
      <c r="G18" s="7" t="e">
        <f>[2]E4w!$O$4</f>
        <v>#REF!</v>
      </c>
      <c r="H18" s="44" t="e">
        <f t="shared" si="2"/>
        <v>#REF!</v>
      </c>
      <c r="I18" s="35" t="e">
        <f>[3]E4r!$O$4</f>
        <v>#REF!</v>
      </c>
      <c r="M18" s="6" t="e">
        <f t="shared" si="4"/>
        <v>#REF!</v>
      </c>
      <c r="N18" s="5">
        <f>C18</f>
        <v>0.2</v>
      </c>
    </row>
    <row r="19" spans="1:14" ht="19.899999999999999" customHeight="1" thickTop="1" thickBot="1" x14ac:dyDescent="0.25">
      <c r="A19" s="60"/>
      <c r="B19" s="61"/>
      <c r="C19" s="62"/>
      <c r="D19" s="45" t="e">
        <f>SUM(D5:D18)</f>
        <v>#REF!</v>
      </c>
      <c r="E19" s="46" t="e">
        <f>SUM(E5:E18)</f>
        <v>#REF!</v>
      </c>
      <c r="F19" s="49" t="e">
        <f t="shared" si="1"/>
        <v>#REF!</v>
      </c>
      <c r="G19" s="48" t="e">
        <f>SUM(G5:G18)</f>
        <v>#REF!</v>
      </c>
      <c r="H19" s="47" t="e">
        <f t="shared" si="2"/>
        <v>#REF!</v>
      </c>
      <c r="I19" s="50" t="e">
        <f>SUM(I5:I18)</f>
        <v>#REF!</v>
      </c>
      <c r="M19" s="59"/>
      <c r="N19" s="34"/>
    </row>
    <row r="20" spans="1:14" ht="66" customHeight="1" thickTop="1" thickBot="1" x14ac:dyDescent="0.3">
      <c r="A20" s="72" t="s">
        <v>11</v>
      </c>
      <c r="B20" s="73"/>
      <c r="C20" s="73"/>
      <c r="D20" s="73"/>
      <c r="E20" s="73"/>
      <c r="F20" s="73"/>
      <c r="G20" s="73"/>
      <c r="H20" s="73"/>
      <c r="I20" s="74"/>
    </row>
    <row r="21" spans="1:14" ht="15.75" customHeight="1" thickTop="1" x14ac:dyDescent="0.2"/>
    <row r="22" spans="1:14" x14ac:dyDescent="0.2">
      <c r="A22" s="23" t="s">
        <v>12</v>
      </c>
      <c r="B22" s="23"/>
      <c r="C22" s="33" t="e">
        <f>[5]A12!B61/1000000</f>
        <v>#REF!</v>
      </c>
      <c r="D22" s="42" t="e">
        <f>[6]A0!B$60/1000000000000</f>
        <v>#REF!</v>
      </c>
      <c r="E22" s="23"/>
      <c r="F22" s="23"/>
      <c r="G22" s="23"/>
      <c r="H22" s="23"/>
      <c r="I22" s="23"/>
    </row>
    <row r="23" spans="1:14" x14ac:dyDescent="0.2">
      <c r="A23" s="23" t="s">
        <v>13</v>
      </c>
      <c r="B23" s="23"/>
      <c r="C23" s="33" t="e">
        <f>C22/C29</f>
        <v>#REF!</v>
      </c>
      <c r="D23" s="42" t="e">
        <f>[6]A0!B$61/1000000000000</f>
        <v>#REF!</v>
      </c>
      <c r="E23" s="23"/>
      <c r="F23" s="23"/>
      <c r="G23" s="23"/>
      <c r="H23" s="23"/>
      <c r="I23" s="23"/>
    </row>
    <row r="24" spans="1:14" x14ac:dyDescent="0.2">
      <c r="D24" s="42" t="e">
        <f>[7]A0x!B$60/1000000000000</f>
        <v>#REF!</v>
      </c>
      <c r="E24" s="23"/>
      <c r="F24" s="23"/>
      <c r="G24" s="23"/>
      <c r="H24" s="23"/>
      <c r="I24" s="23"/>
    </row>
    <row r="25" spans="1:14" x14ac:dyDescent="0.2">
      <c r="D25" s="42" t="e">
        <f>[7]A0x!B$61/1000000000000</f>
        <v>#REF!</v>
      </c>
      <c r="E25" s="23"/>
      <c r="F25" s="23"/>
      <c r="G25" s="23"/>
      <c r="H25" s="23"/>
      <c r="I25" s="23"/>
    </row>
    <row r="26" spans="1:14" x14ac:dyDescent="0.2">
      <c r="A26" s="23" t="s">
        <v>14</v>
      </c>
      <c r="B26" s="23"/>
      <c r="C26" s="23"/>
      <c r="D26" s="23"/>
      <c r="E26" s="23"/>
      <c r="F26" s="23"/>
      <c r="G26" s="23"/>
      <c r="H26" s="23"/>
      <c r="I26" s="23"/>
    </row>
    <row r="27" spans="1:14" x14ac:dyDescent="0.2">
      <c r="A27" s="23" t="s">
        <v>15</v>
      </c>
      <c r="B27" s="23"/>
      <c r="C27" s="33">
        <v>8231</v>
      </c>
      <c r="D27" s="23"/>
      <c r="E27" s="23"/>
      <c r="F27" s="23"/>
      <c r="G27" s="23"/>
      <c r="H27" s="23"/>
      <c r="I27" s="23"/>
    </row>
    <row r="28" spans="1:14" x14ac:dyDescent="0.2">
      <c r="A28" s="23" t="s">
        <v>16</v>
      </c>
      <c r="B28" s="23"/>
      <c r="C28" s="33">
        <v>5563</v>
      </c>
      <c r="D28" s="23"/>
      <c r="E28" s="23"/>
      <c r="F28" s="23"/>
      <c r="G28" s="23"/>
      <c r="H28" s="23"/>
      <c r="I28" s="23"/>
    </row>
    <row r="29" spans="1:14" x14ac:dyDescent="0.2">
      <c r="A29" s="23"/>
      <c r="B29" s="23"/>
      <c r="C29" s="24">
        <f>C27/C28</f>
        <v>1.4795973395649828</v>
      </c>
      <c r="D29" s="23"/>
      <c r="E29" s="23"/>
      <c r="F29" s="23"/>
      <c r="G29" s="23"/>
      <c r="H29" s="23"/>
      <c r="I29" s="23"/>
    </row>
    <row r="30" spans="1:14" x14ac:dyDescent="0.2">
      <c r="D30" s="23"/>
      <c r="E30" s="23"/>
      <c r="F30" s="23"/>
      <c r="G30" s="23"/>
      <c r="H30" s="23"/>
      <c r="I30" s="23"/>
    </row>
  </sheetData>
  <mergeCells count="2">
    <mergeCell ref="A20:I20"/>
    <mergeCell ref="A3:I3"/>
  </mergeCells>
  <printOptions horizontalCentered="1" verticalCentered="1"/>
  <pageMargins left="0.78740157480314998" right="0.78740157480314998" top="0.98425196850394003" bottom="0.98425196850394003" header="0.51181102362205" footer="0.51181102362205"/>
  <pageSetup paperSize="9" scale="63"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1F955"/>
    <pageSetUpPr fitToPage="1"/>
  </sheetPr>
  <dimension ref="A1:P30"/>
  <sheetViews>
    <sheetView topLeftCell="A2" workbookViewId="0">
      <pane xSplit="1" ySplit="2" topLeftCell="B4" activePane="bottomRight" state="frozen"/>
      <selection activeCell="A2" sqref="A2:H8"/>
      <selection pane="topRight" activeCell="A2" sqref="A2:H8"/>
      <selection pane="bottomLeft" activeCell="A2" sqref="A2:H8"/>
      <selection pane="bottomRight" activeCell="A3" sqref="A3:I20"/>
    </sheetView>
  </sheetViews>
  <sheetFormatPr baseColWidth="10" defaultColWidth="10.7109375" defaultRowHeight="15" x14ac:dyDescent="0.2"/>
  <cols>
    <col min="1" max="2" width="26" style="4" customWidth="1"/>
    <col min="3" max="3" width="27.140625" style="4" customWidth="1"/>
    <col min="4" max="4" width="17.42578125" style="4" customWidth="1"/>
    <col min="5" max="5" width="10.7109375" style="4" customWidth="1"/>
    <col min="6" max="6" width="15.42578125" style="4" customWidth="1"/>
    <col min="7" max="7" width="11.140625" style="4" customWidth="1"/>
    <col min="8" max="8" width="17" style="4" customWidth="1"/>
    <col min="9" max="9" width="11.140625" style="4" customWidth="1"/>
    <col min="10" max="12" width="5.7109375" style="4" customWidth="1"/>
    <col min="13" max="13" width="19" style="4" customWidth="1"/>
    <col min="14" max="14" width="15.7109375" style="4" customWidth="1"/>
    <col min="15" max="16" width="5.7109375" style="4" customWidth="1"/>
    <col min="17" max="20" width="8.28515625" style="4" customWidth="1"/>
    <col min="21" max="24" width="13.140625" style="4" customWidth="1"/>
    <col min="25" max="25" width="10.7109375" style="4" customWidth="1"/>
    <col min="26" max="16384" width="10.7109375" style="4"/>
  </cols>
  <sheetData>
    <row r="1" spans="1:16" x14ac:dyDescent="0.2">
      <c r="A1" s="20"/>
      <c r="B1" s="20"/>
      <c r="C1" s="20"/>
      <c r="D1" s="20"/>
      <c r="E1" s="20"/>
      <c r="F1" s="20"/>
      <c r="G1" s="20"/>
      <c r="H1" s="20"/>
      <c r="I1" s="19"/>
    </row>
    <row r="2" spans="1:16" ht="15.75" customHeight="1" thickBot="1" x14ac:dyDescent="0.25">
      <c r="A2" s="19"/>
      <c r="B2" s="19"/>
      <c r="C2" s="19"/>
      <c r="D2" s="19"/>
      <c r="E2" s="19"/>
      <c r="F2" s="19"/>
      <c r="G2" s="19"/>
      <c r="H2" s="19"/>
      <c r="I2" s="19"/>
    </row>
    <row r="3" spans="1:16" ht="52.15" customHeight="1" thickTop="1" thickBot="1" x14ac:dyDescent="0.3">
      <c r="A3" s="75" t="s">
        <v>47</v>
      </c>
      <c r="B3" s="73"/>
      <c r="C3" s="73"/>
      <c r="D3" s="73"/>
      <c r="E3" s="73"/>
      <c r="F3" s="73"/>
      <c r="G3" s="73"/>
      <c r="H3" s="73"/>
      <c r="I3" s="74"/>
    </row>
    <row r="4" spans="1:16" ht="72" customHeight="1" thickTop="1" x14ac:dyDescent="0.2">
      <c r="A4" s="25" t="s">
        <v>48</v>
      </c>
      <c r="B4" s="58" t="s">
        <v>49</v>
      </c>
      <c r="C4" s="64" t="s">
        <v>50</v>
      </c>
      <c r="D4" s="31" t="s">
        <v>4</v>
      </c>
      <c r="E4" s="18" t="s">
        <v>5</v>
      </c>
      <c r="F4" s="31" t="s">
        <v>51</v>
      </c>
      <c r="G4" s="18" t="s">
        <v>7</v>
      </c>
      <c r="H4" s="58" t="s">
        <v>52</v>
      </c>
      <c r="I4" s="18" t="s">
        <v>7</v>
      </c>
      <c r="J4" s="16"/>
      <c r="K4" s="16"/>
      <c r="L4" s="16"/>
      <c r="M4" s="17" t="s">
        <v>53</v>
      </c>
      <c r="N4" s="17" t="s">
        <v>54</v>
      </c>
      <c r="O4" s="16"/>
      <c r="P4" s="16"/>
    </row>
    <row r="5" spans="1:16" ht="19.899999999999999" customHeight="1" x14ac:dyDescent="0.2">
      <c r="A5" s="14">
        <v>0</v>
      </c>
      <c r="B5" s="59">
        <v>0</v>
      </c>
      <c r="C5" s="62">
        <v>0</v>
      </c>
      <c r="D5" s="39" t="e">
        <f t="shared" ref="D5:D18" si="0">E5*$C$23</f>
        <v>#REF!</v>
      </c>
      <c r="E5" s="32" t="e">
        <f>[8]E5p!$B$4</f>
        <v>#REF!</v>
      </c>
      <c r="F5" s="43" t="e">
        <f t="shared" ref="F5:F19" si="1">G5*$D$23</f>
        <v>#REF!</v>
      </c>
      <c r="G5" s="13" t="e">
        <f>[9]E5y!$B$4</f>
        <v>#REF!</v>
      </c>
      <c r="H5" s="43" t="e">
        <f t="shared" ref="H5:H19" si="2">I5*$D$23</f>
        <v>#REF!</v>
      </c>
      <c r="I5" s="32" t="e">
        <f>[10]E5r!$B$4</f>
        <v>#REF!</v>
      </c>
      <c r="J5" s="15"/>
      <c r="M5" s="12">
        <v>0</v>
      </c>
      <c r="N5" s="11">
        <f>(TE5f!C8*TE5f!A8-TE5f!C5*TE5f!A5)/(TE5f!A8-TE5f!A5)</f>
        <v>0</v>
      </c>
      <c r="O5" s="16"/>
      <c r="P5" s="16"/>
    </row>
    <row r="6" spans="1:16" ht="19.899999999999999" customHeight="1" x14ac:dyDescent="0.2">
      <c r="A6" s="14">
        <v>1</v>
      </c>
      <c r="B6" s="59" t="e">
        <f>100*INT(M6*C29/100)</f>
        <v>#REF!</v>
      </c>
      <c r="C6" s="62">
        <v>0</v>
      </c>
      <c r="D6" s="39" t="e">
        <f t="shared" si="0"/>
        <v>#REF!</v>
      </c>
      <c r="E6" s="32" t="e">
        <f>[8]E5p!$C$4</f>
        <v>#REF!</v>
      </c>
      <c r="F6" s="43" t="e">
        <f t="shared" si="1"/>
        <v>#REF!</v>
      </c>
      <c r="G6" s="13" t="e">
        <f>[9]E5y!$C$4</f>
        <v>#REF!</v>
      </c>
      <c r="H6" s="43" t="e">
        <f t="shared" si="2"/>
        <v>#REF!</v>
      </c>
      <c r="I6" s="32" t="e">
        <f>[10]E5r!$C$4</f>
        <v>#REF!</v>
      </c>
      <c r="J6" s="15"/>
      <c r="M6" s="12" t="e">
        <f>100*INT([11]A0np!B61/100)</f>
        <v>#REF!</v>
      </c>
      <c r="N6" s="11">
        <f>(TE5f!C9*TE5f!A9-TE5f!C6*TE5f!A6)/(TE5f!A9-TE5f!A6)</f>
        <v>5.5555555555555552E-2</v>
      </c>
      <c r="O6" s="16"/>
      <c r="P6" s="16"/>
    </row>
    <row r="7" spans="1:16" ht="19.899999999999999" customHeight="1" x14ac:dyDescent="0.2">
      <c r="A7" s="14">
        <v>5</v>
      </c>
      <c r="B7" s="59" t="e">
        <f t="shared" ref="B7:B18" si="3">A7*B$6</f>
        <v>#REF!</v>
      </c>
      <c r="C7" s="62">
        <v>0</v>
      </c>
      <c r="D7" s="39" t="e">
        <f t="shared" si="0"/>
        <v>#REF!</v>
      </c>
      <c r="E7" s="32" t="e">
        <f>[8]E5p!$D$4</f>
        <v>#REF!</v>
      </c>
      <c r="F7" s="43" t="e">
        <f t="shared" si="1"/>
        <v>#REF!</v>
      </c>
      <c r="G7" s="32" t="e">
        <f>[9]E5y!$D$4</f>
        <v>#REF!</v>
      </c>
      <c r="H7" s="43" t="e">
        <f t="shared" si="2"/>
        <v>#REF!</v>
      </c>
      <c r="I7" s="32" t="e">
        <f>[10]E5r!$D$4</f>
        <v>#REF!</v>
      </c>
      <c r="J7" s="15"/>
      <c r="M7" s="12" t="e">
        <f>TE5f!A7*M$6</f>
        <v>#REF!</v>
      </c>
      <c r="N7" s="11">
        <f>(TE5f!C8*TE5f!A8-TE5f!C7*TE5f!A7)/(TE5f!A8-TE5f!A7)</f>
        <v>0</v>
      </c>
    </row>
    <row r="8" spans="1:16" ht="19.899999999999999" customHeight="1" x14ac:dyDescent="0.2">
      <c r="A8" s="14">
        <v>7</v>
      </c>
      <c r="B8" s="59" t="e">
        <f t="shared" si="3"/>
        <v>#REF!</v>
      </c>
      <c r="C8" s="62">
        <v>0</v>
      </c>
      <c r="D8" s="39" t="e">
        <f t="shared" si="0"/>
        <v>#REF!</v>
      </c>
      <c r="E8" s="32" t="e">
        <f>[8]E5p!$E$4</f>
        <v>#REF!</v>
      </c>
      <c r="F8" s="43" t="e">
        <f t="shared" si="1"/>
        <v>#REF!</v>
      </c>
      <c r="G8" s="32" t="e">
        <f>[9]E5y!$E$4</f>
        <v>#REF!</v>
      </c>
      <c r="H8" s="43" t="e">
        <f t="shared" si="2"/>
        <v>#REF!</v>
      </c>
      <c r="I8" s="32" t="e">
        <f>[10]E5r!$E$4</f>
        <v>#REF!</v>
      </c>
      <c r="J8" s="15"/>
      <c r="M8" s="12" t="e">
        <f>TE5f!A8*M$6</f>
        <v>#REF!</v>
      </c>
      <c r="N8" s="11">
        <f>(TE5f!C9*TE5f!A9-TE5f!C8*TE5f!A8)/(TE5f!A9-TE5f!A8)</f>
        <v>0.16666666666666666</v>
      </c>
    </row>
    <row r="9" spans="1:16" ht="19.899999999999999" customHeight="1" x14ac:dyDescent="0.2">
      <c r="A9" s="14">
        <v>10</v>
      </c>
      <c r="B9" s="59" t="e">
        <f t="shared" si="3"/>
        <v>#REF!</v>
      </c>
      <c r="C9" s="62">
        <v>0.05</v>
      </c>
      <c r="D9" s="39" t="e">
        <f t="shared" si="0"/>
        <v>#REF!</v>
      </c>
      <c r="E9" s="32" t="e">
        <f>[8]E5p!$F$4</f>
        <v>#REF!</v>
      </c>
      <c r="F9" s="43" t="e">
        <f t="shared" si="1"/>
        <v>#REF!</v>
      </c>
      <c r="G9" s="32" t="e">
        <f>[9]E5y!$F$4</f>
        <v>#REF!</v>
      </c>
      <c r="H9" s="43" t="e">
        <f t="shared" si="2"/>
        <v>#REF!</v>
      </c>
      <c r="I9" s="32" t="e">
        <f>[10]E5r!$F$4</f>
        <v>#REF!</v>
      </c>
      <c r="J9" s="15"/>
      <c r="M9" s="12" t="e">
        <f>TE5f!A9*M$6</f>
        <v>#REF!</v>
      </c>
      <c r="N9" s="11">
        <f>(TE5f!C10*TE5f!A10-TE5f!C9*TE5f!A9)/(TE5f!A10-TE5f!A9)</f>
        <v>0.35000000000000009</v>
      </c>
    </row>
    <row r="10" spans="1:16" ht="19.899999999999999" customHeight="1" x14ac:dyDescent="0.2">
      <c r="A10" s="14">
        <v>12</v>
      </c>
      <c r="B10" s="59" t="e">
        <f t="shared" si="3"/>
        <v>#REF!</v>
      </c>
      <c r="C10" s="62">
        <v>0.1</v>
      </c>
      <c r="D10" s="39" t="e">
        <f t="shared" si="0"/>
        <v>#REF!</v>
      </c>
      <c r="E10" s="32" t="e">
        <f>[8]E5p!$G$4</f>
        <v>#REF!</v>
      </c>
      <c r="F10" s="43" t="e">
        <f t="shared" si="1"/>
        <v>#REF!</v>
      </c>
      <c r="G10" s="32" t="e">
        <f>[9]E5y!$G$4</f>
        <v>#REF!</v>
      </c>
      <c r="H10" s="43" t="e">
        <f t="shared" si="2"/>
        <v>#REF!</v>
      </c>
      <c r="I10" s="32" t="e">
        <f>[10]E5r!$G$4</f>
        <v>#REF!</v>
      </c>
      <c r="J10" s="15"/>
      <c r="M10" s="12" t="e">
        <f>TE5f!A10*M$6</f>
        <v>#REF!</v>
      </c>
      <c r="N10" s="11">
        <f>(TE5f!C11*TE5f!A11-TE5f!C10*TE5f!A10)/(TE5f!A11-TE5f!A10)</f>
        <v>0.34999999999999992</v>
      </c>
    </row>
    <row r="11" spans="1:16" ht="19.899999999999999" customHeight="1" x14ac:dyDescent="0.2">
      <c r="A11" s="14">
        <v>15</v>
      </c>
      <c r="B11" s="59" t="e">
        <f t="shared" si="3"/>
        <v>#REF!</v>
      </c>
      <c r="C11" s="62">
        <v>0.15</v>
      </c>
      <c r="D11" s="39" t="e">
        <f t="shared" si="0"/>
        <v>#REF!</v>
      </c>
      <c r="E11" s="32" t="e">
        <f>[8]E5p!$H$4</f>
        <v>#REF!</v>
      </c>
      <c r="F11" s="43" t="e">
        <f t="shared" si="1"/>
        <v>#REF!</v>
      </c>
      <c r="G11" s="32" t="e">
        <f>[9]E5y!$H$4</f>
        <v>#REF!</v>
      </c>
      <c r="H11" s="43" t="e">
        <f t="shared" si="2"/>
        <v>#REF!</v>
      </c>
      <c r="I11" s="32" t="e">
        <f>[10]E5r!$H$4</f>
        <v>#REF!</v>
      </c>
      <c r="J11" s="15"/>
      <c r="M11" s="12" t="e">
        <f>TE5f!A11*M$6</f>
        <v>#REF!</v>
      </c>
      <c r="N11" s="11">
        <f>(TE5f!C12*TE5f!A12-TE5f!C11*TE5f!A11)/(TE5f!A12-TE5f!A11)</f>
        <v>0.35</v>
      </c>
    </row>
    <row r="12" spans="1:16" ht="19.899999999999999" customHeight="1" x14ac:dyDescent="0.2">
      <c r="A12" s="14">
        <v>20</v>
      </c>
      <c r="B12" s="59" t="e">
        <f t="shared" si="3"/>
        <v>#REF!</v>
      </c>
      <c r="C12" s="62">
        <v>0.2</v>
      </c>
      <c r="D12" s="39" t="e">
        <f t="shared" si="0"/>
        <v>#REF!</v>
      </c>
      <c r="E12" s="32" t="e">
        <f>[8]E5p!$I$4</f>
        <v>#REF!</v>
      </c>
      <c r="F12" s="43" t="e">
        <f t="shared" si="1"/>
        <v>#REF!</v>
      </c>
      <c r="G12" s="32" t="e">
        <f>[9]E5y!$I$4</f>
        <v>#REF!</v>
      </c>
      <c r="H12" s="43" t="e">
        <f t="shared" si="2"/>
        <v>#REF!</v>
      </c>
      <c r="I12" s="32" t="e">
        <f>[10]E5r!$I$4</f>
        <v>#REF!</v>
      </c>
      <c r="J12" s="15"/>
      <c r="M12" s="12" t="e">
        <f>TE5f!A12*M$6</f>
        <v>#REF!</v>
      </c>
      <c r="N12" s="11">
        <f>(TE5f!C13*TE5f!A13-TE5f!C12*TE5f!A12)/(TE5f!A13-TE5f!A12)</f>
        <v>0.53333333333333333</v>
      </c>
    </row>
    <row r="13" spans="1:16" ht="19.899999999999999" customHeight="1" x14ac:dyDescent="0.2">
      <c r="A13" s="14">
        <v>50</v>
      </c>
      <c r="B13" s="59" t="e">
        <f t="shared" si="3"/>
        <v>#REF!</v>
      </c>
      <c r="C13" s="62">
        <v>0.4</v>
      </c>
      <c r="D13" s="40" t="e">
        <f t="shared" si="0"/>
        <v>#REF!</v>
      </c>
      <c r="E13" s="36" t="e">
        <f>[8]E5p!$J$4</f>
        <v>#REF!</v>
      </c>
      <c r="F13" s="43" t="e">
        <f t="shared" si="1"/>
        <v>#REF!</v>
      </c>
      <c r="G13" s="32" t="e">
        <f>[9]E5y!$J$4</f>
        <v>#REF!</v>
      </c>
      <c r="H13" s="43" t="e">
        <f t="shared" si="2"/>
        <v>#REF!</v>
      </c>
      <c r="I13" s="32" t="e">
        <f>[10]E5r!$J$4</f>
        <v>#REF!</v>
      </c>
      <c r="J13" s="15"/>
      <c r="M13" s="12" t="e">
        <f>TE5f!A13*M$6</f>
        <v>#REF!</v>
      </c>
      <c r="N13" s="11">
        <f>(TE5f!C14*TE5f!A14-TE5f!C13*TE5f!A13)/(TE5f!A14-TE5f!A13)</f>
        <v>0.6</v>
      </c>
    </row>
    <row r="14" spans="1:16" ht="19.899999999999999" customHeight="1" x14ac:dyDescent="0.2">
      <c r="A14" s="14">
        <v>100</v>
      </c>
      <c r="B14" s="59" t="e">
        <f t="shared" si="3"/>
        <v>#REF!</v>
      </c>
      <c r="C14" s="62">
        <v>0.5</v>
      </c>
      <c r="D14" s="40" t="e">
        <f t="shared" si="0"/>
        <v>#REF!</v>
      </c>
      <c r="E14" s="36" t="e">
        <f>[8]E5p!$K$4</f>
        <v>#REF!</v>
      </c>
      <c r="F14" s="43" t="e">
        <f t="shared" si="1"/>
        <v>#REF!</v>
      </c>
      <c r="G14" s="32" t="e">
        <f>[9]E5y!$K$4</f>
        <v>#REF!</v>
      </c>
      <c r="H14" s="43" t="e">
        <f t="shared" si="2"/>
        <v>#REF!</v>
      </c>
      <c r="I14" s="32" t="e">
        <f>[10]E5r!$K$4</f>
        <v>#REF!</v>
      </c>
      <c r="J14" s="15"/>
      <c r="M14" s="12" t="e">
        <f>TE5f!A14*M$6</f>
        <v>#REF!</v>
      </c>
      <c r="N14" s="11">
        <f>(TE5f!C15*TE5f!A15-TE5f!C14*TE5f!A14)/(TE5f!A15-TE5f!A14)</f>
        <v>0.7</v>
      </c>
    </row>
    <row r="15" spans="1:16" ht="19.899999999999999" customHeight="1" x14ac:dyDescent="0.2">
      <c r="A15" s="14">
        <v>200</v>
      </c>
      <c r="B15" s="59" t="e">
        <f t="shared" si="3"/>
        <v>#REF!</v>
      </c>
      <c r="C15" s="62">
        <v>0.6</v>
      </c>
      <c r="D15" s="40" t="e">
        <f t="shared" si="0"/>
        <v>#REF!</v>
      </c>
      <c r="E15" s="36" t="e">
        <f>[8]E5p!$L$4</f>
        <v>#REF!</v>
      </c>
      <c r="F15" s="43" t="e">
        <f t="shared" si="1"/>
        <v>#REF!</v>
      </c>
      <c r="G15" s="32" t="e">
        <f>[9]E5y!$L$4</f>
        <v>#REF!</v>
      </c>
      <c r="H15" s="43" t="e">
        <f t="shared" si="2"/>
        <v>#REF!</v>
      </c>
      <c r="I15" s="32" t="e">
        <f>[10]E5r!$L$4</f>
        <v>#REF!</v>
      </c>
      <c r="J15" s="15"/>
      <c r="M15" s="12" t="e">
        <f>TE5f!A15*M$6</f>
        <v>#REF!</v>
      </c>
      <c r="N15" s="11">
        <f>(TE5f!C16*TE5f!A16-TE5f!C15*TE5f!A15)/(TE5f!A16-TE5f!A15)</f>
        <v>0.76666666666666672</v>
      </c>
    </row>
    <row r="16" spans="1:16" ht="19.899999999999999" customHeight="1" x14ac:dyDescent="0.2">
      <c r="A16" s="14">
        <v>500</v>
      </c>
      <c r="B16" s="59" t="e">
        <f t="shared" si="3"/>
        <v>#REF!</v>
      </c>
      <c r="C16" s="62">
        <v>0.7</v>
      </c>
      <c r="D16" s="40" t="e">
        <f t="shared" si="0"/>
        <v>#REF!</v>
      </c>
      <c r="E16" s="37" t="e">
        <f>[8]E5p!$M$4</f>
        <v>#REF!</v>
      </c>
      <c r="F16" s="43" t="e">
        <f t="shared" si="1"/>
        <v>#REF!</v>
      </c>
      <c r="G16" s="32" t="e">
        <f>[9]E5y!$M$4</f>
        <v>#REF!</v>
      </c>
      <c r="H16" s="43" t="e">
        <f t="shared" si="2"/>
        <v>#REF!</v>
      </c>
      <c r="I16" s="32" t="e">
        <f>[10]E5r!$M$4</f>
        <v>#REF!</v>
      </c>
      <c r="J16" s="15"/>
      <c r="M16" s="12" t="e">
        <f>TE5f!A16*M$6</f>
        <v>#REF!</v>
      </c>
      <c r="N16" s="11">
        <f>(TE5f!C17*TE5f!A17-TE5f!C16*TE5f!A16)/(TE5f!A17-TE5f!A16)</f>
        <v>0.9</v>
      </c>
    </row>
    <row r="17" spans="1:14" ht="19.899999999999999" customHeight="1" x14ac:dyDescent="0.2">
      <c r="A17" s="14">
        <v>1000</v>
      </c>
      <c r="B17" s="59" t="e">
        <f t="shared" si="3"/>
        <v>#REF!</v>
      </c>
      <c r="C17" s="62">
        <v>0.8</v>
      </c>
      <c r="D17" s="40" t="e">
        <f t="shared" si="0"/>
        <v>#REF!</v>
      </c>
      <c r="E17" s="37" t="e">
        <f>[8]E5p!$N$4</f>
        <v>#REF!</v>
      </c>
      <c r="F17" s="43" t="e">
        <f t="shared" si="1"/>
        <v>#REF!</v>
      </c>
      <c r="G17" s="32" t="e">
        <f>[9]E5y!$N$4</f>
        <v>#REF!</v>
      </c>
      <c r="H17" s="43" t="e">
        <f t="shared" si="2"/>
        <v>#REF!</v>
      </c>
      <c r="I17" s="32" t="e">
        <f>[10]E5r!$N$4</f>
        <v>#REF!</v>
      </c>
      <c r="M17" s="12" t="e">
        <f>TE5f!A17*M$6</f>
        <v>#REF!</v>
      </c>
      <c r="N17" s="11">
        <f>(TE5f!C18*TE5f!A18-TE5f!C17*TE5f!A17)/(TE5f!A18-TE5f!A17)</f>
        <v>0.92500000000000004</v>
      </c>
    </row>
    <row r="18" spans="1:14" ht="19.899999999999999" customHeight="1" thickBot="1" x14ac:dyDescent="0.25">
      <c r="A18" s="10">
        <v>5000</v>
      </c>
      <c r="B18" s="8" t="e">
        <f t="shared" si="3"/>
        <v>#REF!</v>
      </c>
      <c r="C18" s="9">
        <v>0.9</v>
      </c>
      <c r="D18" s="41" t="e">
        <f t="shared" si="0"/>
        <v>#REF!</v>
      </c>
      <c r="E18" s="38" t="e">
        <f>[8]E5p!$O$4</f>
        <v>#REF!</v>
      </c>
      <c r="F18" s="44" t="e">
        <f t="shared" si="1"/>
        <v>#REF!</v>
      </c>
      <c r="G18" s="35" t="e">
        <f>[9]E5y!$O$4</f>
        <v>#REF!</v>
      </c>
      <c r="H18" s="44" t="e">
        <f t="shared" si="2"/>
        <v>#REF!</v>
      </c>
      <c r="I18" s="35" t="e">
        <f>[10]E5r!$O$4</f>
        <v>#REF!</v>
      </c>
      <c r="M18" s="6" t="e">
        <f>TE5f!A18*M$6</f>
        <v>#REF!</v>
      </c>
      <c r="N18" s="5">
        <f>TE5f!C18</f>
        <v>0.9</v>
      </c>
    </row>
    <row r="19" spans="1:14" ht="19.899999999999999" customHeight="1" thickTop="1" thickBot="1" x14ac:dyDescent="0.25">
      <c r="A19" s="60"/>
      <c r="B19" s="61"/>
      <c r="C19" s="62"/>
      <c r="D19" s="45" t="e">
        <f>SUM(D5:D18)</f>
        <v>#REF!</v>
      </c>
      <c r="E19" s="46" t="e">
        <f>SUM(E5:E18)</f>
        <v>#REF!</v>
      </c>
      <c r="F19" s="49" t="e">
        <f t="shared" si="1"/>
        <v>#REF!</v>
      </c>
      <c r="G19" s="48" t="e">
        <f>SUM(G5:G18)</f>
        <v>#REF!</v>
      </c>
      <c r="H19" s="47" t="e">
        <f t="shared" si="2"/>
        <v>#REF!</v>
      </c>
      <c r="I19" s="50" t="e">
        <f>SUM(I5:I18)</f>
        <v>#REF!</v>
      </c>
      <c r="M19" s="59"/>
      <c r="N19" s="34"/>
    </row>
    <row r="20" spans="1:14" ht="80.45" customHeight="1" thickTop="1" thickBot="1" x14ac:dyDescent="0.3">
      <c r="A20" s="72" t="s">
        <v>55</v>
      </c>
      <c r="B20" s="73"/>
      <c r="C20" s="73"/>
      <c r="D20" s="73"/>
      <c r="E20" s="73"/>
      <c r="F20" s="73"/>
      <c r="G20" s="73"/>
      <c r="H20" s="73"/>
      <c r="I20" s="74"/>
    </row>
    <row r="21" spans="1:14" ht="15.75" customHeight="1" thickTop="1" x14ac:dyDescent="0.2"/>
    <row r="22" spans="1:14" x14ac:dyDescent="0.2">
      <c r="A22" s="23" t="s">
        <v>12</v>
      </c>
      <c r="B22" s="23"/>
      <c r="C22" s="33" t="e">
        <f>[5]A12!B61/1000000</f>
        <v>#REF!</v>
      </c>
      <c r="D22" s="42" t="e">
        <f>[6]A0!B$60/1000000000000</f>
        <v>#REF!</v>
      </c>
      <c r="E22" s="23"/>
      <c r="F22" s="23"/>
      <c r="G22" s="23"/>
      <c r="H22" s="23"/>
      <c r="I22" s="23"/>
    </row>
    <row r="23" spans="1:14" x14ac:dyDescent="0.2">
      <c r="A23" s="23" t="s">
        <v>13</v>
      </c>
      <c r="B23" s="23"/>
      <c r="C23" s="33" t="e">
        <f>C22/C29</f>
        <v>#REF!</v>
      </c>
      <c r="D23" s="42" t="e">
        <f>[6]A0!B$61/1000000000000</f>
        <v>#REF!</v>
      </c>
      <c r="E23" s="23"/>
      <c r="F23" s="23"/>
      <c r="G23" s="23"/>
      <c r="H23" s="23"/>
      <c r="I23" s="23"/>
    </row>
    <row r="24" spans="1:14" x14ac:dyDescent="0.2">
      <c r="D24" s="42" t="e">
        <f>[7]A0x!B$60/1000000000000</f>
        <v>#REF!</v>
      </c>
      <c r="E24" s="23"/>
      <c r="F24" s="23"/>
      <c r="G24" s="23"/>
      <c r="H24" s="23"/>
      <c r="I24" s="23"/>
    </row>
    <row r="25" spans="1:14" x14ac:dyDescent="0.2">
      <c r="D25" s="42" t="e">
        <f>[7]A0x!B$61/1000000000000</f>
        <v>#REF!</v>
      </c>
      <c r="E25" s="23"/>
      <c r="F25" s="23"/>
      <c r="G25" s="23"/>
      <c r="H25" s="23"/>
      <c r="I25" s="23"/>
    </row>
    <row r="26" spans="1:14" x14ac:dyDescent="0.2">
      <c r="A26" s="23" t="s">
        <v>14</v>
      </c>
      <c r="B26" s="23"/>
      <c r="C26" s="23"/>
      <c r="D26" s="23"/>
      <c r="E26" s="23"/>
      <c r="F26" s="23"/>
      <c r="G26" s="23"/>
      <c r="H26" s="23"/>
      <c r="I26" s="23"/>
    </row>
    <row r="27" spans="1:14" x14ac:dyDescent="0.2">
      <c r="A27" s="23" t="s">
        <v>15</v>
      </c>
      <c r="B27" s="23"/>
      <c r="C27" s="33">
        <v>8231</v>
      </c>
      <c r="D27" s="23"/>
      <c r="E27" s="23"/>
      <c r="F27" s="23"/>
      <c r="G27" s="23"/>
      <c r="H27" s="23"/>
      <c r="I27" s="23"/>
    </row>
    <row r="28" spans="1:14" x14ac:dyDescent="0.2">
      <c r="A28" s="23" t="s">
        <v>16</v>
      </c>
      <c r="B28" s="23"/>
      <c r="C28" s="33">
        <v>5563</v>
      </c>
      <c r="D28" s="23"/>
      <c r="E28" s="23"/>
      <c r="F28" s="23"/>
      <c r="G28" s="23"/>
      <c r="H28" s="23"/>
      <c r="I28" s="23"/>
    </row>
    <row r="29" spans="1:14" x14ac:dyDescent="0.2">
      <c r="A29" s="23"/>
      <c r="B29" s="23"/>
      <c r="C29" s="24">
        <f>C27/C28</f>
        <v>1.4795973395649828</v>
      </c>
      <c r="D29" s="23"/>
      <c r="E29" s="23"/>
      <c r="F29" s="23"/>
      <c r="G29" s="23"/>
      <c r="H29" s="23"/>
      <c r="I29" s="23"/>
    </row>
    <row r="30" spans="1:14" x14ac:dyDescent="0.2">
      <c r="D30" s="23"/>
      <c r="E30" s="23"/>
      <c r="F30" s="23"/>
      <c r="G30" s="23"/>
      <c r="H30" s="23"/>
      <c r="I30" s="23"/>
    </row>
  </sheetData>
  <mergeCells count="2">
    <mergeCell ref="A20:I20"/>
    <mergeCell ref="A3:I3"/>
  </mergeCells>
  <printOptions horizontalCentered="1" verticalCentered="1"/>
  <pageMargins left="0.78740157480314998" right="0.78740157480314998" top="0.98425196850394003" bottom="0.98425196850394003" header="0.51181102362205" footer="0.51181102362205"/>
  <pageSetup paperSize="9" scale="60"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E5t_fix</vt:lpstr>
      <vt:lpstr>E4t</vt:lpstr>
      <vt:lpstr>E5t</vt:lpstr>
      <vt:lpstr>E4b</vt:lpstr>
      <vt:lpstr>E5b</vt:lpstr>
      <vt:lpstr>TE4f</vt:lpstr>
      <vt:lpstr>TE5f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fabre</cp:lastModifiedBy>
  <cp:lastPrinted>2026-04-08T14:14:27Z</cp:lastPrinted>
  <dcterms:created xsi:type="dcterms:W3CDTF">2026-01-16T17:50:08Z</dcterms:created>
  <dcterms:modified xsi:type="dcterms:W3CDTF">2026-05-29T11:38:10Z</dcterms:modified>
</cp:coreProperties>
</file>